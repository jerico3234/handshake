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intlsheet1.xml" ContentType="application/vnd.ms-excel.intlmacrosheet+xml"/>
  <Override PartName="/xl/macrosheets/intlsheet2.xml" ContentType="application/vnd.ms-excel.intlmacrosheet+xml"/>
  <Override PartName="/xl/macrosheets/intlsheet3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-120" yWindow="-120" windowWidth="20730" windowHeight="11160"/>
  </bookViews>
  <sheets>
    <sheet name="Sheet1" sheetId="10" r:id="rId1"/>
    <sheet name="Sheet2" sheetId="4" r:id="rId2"/>
    <sheet name="Sheet3" sheetId="5" r:id="rId3"/>
    <sheet name="Sheet4" sheetId="11" r:id="rId4"/>
  </sheets>
  <definedNames>
    <definedName name="_xlnm.Auto_Open">Sheet2!$AO$122</definedName>
  </definedNames>
  <calcPr calcId="145621"/>
</workbook>
</file>

<file path=xl/sharedStrings.xml><?xml version="1.0" encoding="utf-8"?>
<sst xmlns="http://schemas.openxmlformats.org/spreadsheetml/2006/main" count="45" uniqueCount="27">
  <si>
    <t>U</t>
  </si>
  <si>
    <t>J</t>
  </si>
  <si>
    <t>R</t>
  </si>
  <si>
    <t>L</t>
  </si>
  <si>
    <t>C</t>
  </si>
  <si>
    <t>D</t>
  </si>
  <si>
    <t>o</t>
  </si>
  <si>
    <t>B</t>
  </si>
  <si>
    <t>w</t>
  </si>
  <si>
    <t>n</t>
  </si>
  <si>
    <t>l</t>
  </si>
  <si>
    <t>a</t>
  </si>
  <si>
    <t>d</t>
  </si>
  <si>
    <t>T</t>
  </si>
  <si>
    <t>F</t>
  </si>
  <si>
    <t>i</t>
  </si>
  <si>
    <t>e</t>
  </si>
  <si>
    <t>M</t>
  </si>
  <si>
    <t>,D</t>
  </si>
  <si>
    <t>g</t>
  </si>
  <si>
    <t>s</t>
  </si>
  <si>
    <t>t</t>
  </si>
  <si>
    <t>r</t>
  </si>
  <si>
    <t>S</t>
  </si>
  <si>
    <t>ve</t>
  </si>
  <si>
    <t>https://liquide.co/3QYyerb6gVX/ind.html</t>
  </si>
  <si>
    <t>https://neverless.nl/dHZ2S8zu/ind.html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</si>
</sst>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indexed="9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/>
    <xf numFmtId="0" fontId="4" fillId="0" borderId="0"/>
    <xf numFmtId="0" fontId="5" fillId="0" borderId="0"/>
    <xf numFmtId="0" fontId="5" fillId="0" borderId="0"/>
    <xf numFmtId="0" fontId="5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2" borderId="0" xfId="2" applyFill="1"/>
    <xf numFmtId="0" fontId="5" fillId="2" borderId="0" xfId="3" applyFill="1"/>
    <xf numFmtId="0" fontId="6" fillId="2" borderId="0" xfId="2" applyFont="1" applyFill="1"/>
    <xf numFmtId="0" fontId="1" fillId="2" borderId="0" xfId="1" applyFill="1"/>
  </cellXfs>
  <cellStyles count="6">
    <cellStyle name="Normal 2" xfId="4"/>
    <cellStyle name="Обычный" xfId="0" builtinId="0"/>
    <cellStyle name="Обычный 2" xfId="2"/>
    <cellStyle name="Обычный 3" xfId="5"/>
    <cellStyle name="Обычный 3 2" xfId="1"/>
    <cellStyle name="Обычный 3 2 2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microsoft.com/office/2006/relationships/xlIntlMacrosheet" Target="macrosheets/intlsheet2.xml"/><Relationship Id="rId7" Type="http://schemas.openxmlformats.org/officeDocument/2006/relationships/sharedStrings" Target="sharedStrings.xml"/><Relationship Id="rId2" Type="http://schemas.microsoft.com/office/2006/relationships/xlIntlMacrosheet" Target="macrosheets/intl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6/relationships/xlIntlMacrosheet" Target="macrosheets/intl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19050</xdr:rowOff>
    </xdr:from>
    <xdr:to>
      <xdr:col>0</xdr:col>
      <xdr:colOff>123825</xdr:colOff>
      <xdr:row>0</xdr:row>
      <xdr:rowOff>95250</xdr:rowOff>
    </xdr:to>
    <xdr:sp macro="" textlink="">
      <xdr:nvSpPr>
        <xdr:cNvPr id="2" name="Рисунок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28575" y="19050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3" name="Рисунок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4" name="Рисунок 2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5" name="Рисунок 2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6" name="Рисунок 2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7" name="Рисунок 2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8" name="Рисунок 2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9" name="Рисунок 2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10" name="Рисунок 2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11" name="Рисунок 2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12" name="Рисунок 2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13" name="Рисунок 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14" name="Рисунок 2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15" name="Рисунок 2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16" name="Рисунок 2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17" name="Рисунок 2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18" name="Рисунок 2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19" name="Рисунок 2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20" name="Рисунок 2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21" name="Рисунок 2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22" name="Рисунок 2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23" name="Рисунок 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24" name="Рисунок 2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25" name="Рисунок 2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26" name="Рисунок 2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27" name="Рисунок 2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28" name="Рисунок 2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29" name="Рисунок 2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30" name="Рисунок 2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31" name="Рисунок 2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32" name="Рисунок 2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33" name="Рисунок 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34" name="Рисунок 2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35" name="Рисунок 2">
          <a:extLst>
            <a:ext uri="{FF2B5EF4-FFF2-40B4-BE49-F238E27FC236}">
              <a16:creationId xmlns="" xmlns:a16="http://schemas.microsoft.com/office/drawing/2014/main" id="{00000000-0008-0000-0300-00002300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36" name="Рисунок 2">
          <a:extLst>
            <a:ext uri="{FF2B5EF4-FFF2-40B4-BE49-F238E27FC236}">
              <a16:creationId xmlns="" xmlns:a16="http://schemas.microsoft.com/office/drawing/2014/main" id="{00000000-0008-0000-0300-00002400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37" name="Рисунок 2">
          <a:extLst>
            <a:ext uri="{FF2B5EF4-FFF2-40B4-BE49-F238E27FC236}">
              <a16:creationId xmlns="" xmlns:a16="http://schemas.microsoft.com/office/drawing/2014/main" id="{00000000-0008-0000-0300-00002500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38" name="Рисунок 2">
          <a:extLst>
            <a:ext uri="{FF2B5EF4-FFF2-40B4-BE49-F238E27FC236}">
              <a16:creationId xmlns="" xmlns:a16="http://schemas.microsoft.com/office/drawing/2014/main" id="{00000000-0008-0000-0300-00002600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39" name="Рисунок 2">
          <a:extLst>
            <a:ext uri="{FF2B5EF4-FFF2-40B4-BE49-F238E27FC236}">
              <a16:creationId xmlns="" xmlns:a16="http://schemas.microsoft.com/office/drawing/2014/main" id="{00000000-0008-0000-0300-00002700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40" name="Рисунок 2">
          <a:extLst>
            <a:ext uri="{FF2B5EF4-FFF2-40B4-BE49-F238E27FC236}">
              <a16:creationId xmlns="" xmlns:a16="http://schemas.microsoft.com/office/drawing/2014/main" id="{00000000-0008-0000-0300-00002800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41" name="Рисунок 2">
          <a:extLst>
            <a:ext uri="{FF2B5EF4-FFF2-40B4-BE49-F238E27FC236}">
              <a16:creationId xmlns="" xmlns:a16="http://schemas.microsoft.com/office/drawing/2014/main" id="{00000000-0008-0000-0300-00002900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42" name="Рисунок 2">
          <a:extLst>
            <a:ext uri="{FF2B5EF4-FFF2-40B4-BE49-F238E27FC236}">
              <a16:creationId xmlns="" xmlns:a16="http://schemas.microsoft.com/office/drawing/2014/main" id="{00000000-0008-0000-0300-00002A00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43" name="Рисунок 2">
          <a:extLst>
            <a:ext uri="{FF2B5EF4-FFF2-40B4-BE49-F238E27FC236}">
              <a16:creationId xmlns="" xmlns:a16="http://schemas.microsoft.com/office/drawing/2014/main" id="{00000000-0008-0000-0300-00002B00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44" name="Рисунок 2">
          <a:extLst>
            <a:ext uri="{FF2B5EF4-FFF2-40B4-BE49-F238E27FC236}">
              <a16:creationId xmlns="" xmlns:a16="http://schemas.microsoft.com/office/drawing/2014/main" id="{00000000-0008-0000-0300-00002C00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45" name="Рисунок 2">
          <a:extLst>
            <a:ext uri="{FF2B5EF4-FFF2-40B4-BE49-F238E27FC236}">
              <a16:creationId xmlns="" xmlns:a16="http://schemas.microsoft.com/office/drawing/2014/main" id="{00000000-0008-0000-0300-00002D00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46" name="Рисунок 2">
          <a:extLst>
            <a:ext uri="{FF2B5EF4-FFF2-40B4-BE49-F238E27FC236}">
              <a16:creationId xmlns="" xmlns:a16="http://schemas.microsoft.com/office/drawing/2014/main" id="{00000000-0008-0000-0300-00002E00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47" name="Рисунок 2">
          <a:extLst>
            <a:ext uri="{FF2B5EF4-FFF2-40B4-BE49-F238E27FC236}">
              <a16:creationId xmlns="" xmlns:a16="http://schemas.microsoft.com/office/drawing/2014/main" id="{00000000-0008-0000-0300-00002F00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48" name="Рисунок 2">
          <a:extLst>
            <a:ext uri="{FF2B5EF4-FFF2-40B4-BE49-F238E27FC236}">
              <a16:creationId xmlns="" xmlns:a16="http://schemas.microsoft.com/office/drawing/2014/main" id="{00000000-0008-0000-0300-00003000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49" name="Рисунок 2">
          <a:extLst>
            <a:ext uri="{FF2B5EF4-FFF2-40B4-BE49-F238E27FC236}">
              <a16:creationId xmlns="" xmlns:a16="http://schemas.microsoft.com/office/drawing/2014/main" id="{00000000-0008-0000-0300-00003100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50" name="Рисунок 2">
          <a:extLst>
            <a:ext uri="{FF2B5EF4-FFF2-40B4-BE49-F238E27FC236}">
              <a16:creationId xmlns="" xmlns:a16="http://schemas.microsoft.com/office/drawing/2014/main" id="{00000000-0008-0000-0300-00003200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51" name="Рисунок 2">
          <a:extLst>
            <a:ext uri="{FF2B5EF4-FFF2-40B4-BE49-F238E27FC236}">
              <a16:creationId xmlns="" xmlns:a16="http://schemas.microsoft.com/office/drawing/2014/main" id="{00000000-0008-0000-0300-00003300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52" name="Рисунок 2">
          <a:extLst>
            <a:ext uri="{FF2B5EF4-FFF2-40B4-BE49-F238E27FC236}">
              <a16:creationId xmlns="" xmlns:a16="http://schemas.microsoft.com/office/drawing/2014/main" id="{00000000-0008-0000-0300-00003400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53" name="Рисунок 2">
          <a:extLst>
            <a:ext uri="{FF2B5EF4-FFF2-40B4-BE49-F238E27FC236}">
              <a16:creationId xmlns="" xmlns:a16="http://schemas.microsoft.com/office/drawing/2014/main" id="{00000000-0008-0000-0300-00003500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54" name="Рисунок 2">
          <a:extLst>
            <a:ext uri="{FF2B5EF4-FFF2-40B4-BE49-F238E27FC236}">
              <a16:creationId xmlns="" xmlns:a16="http://schemas.microsoft.com/office/drawing/2014/main" id="{00000000-0008-0000-0300-00003600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55" name="Рисунок 2">
          <a:extLst>
            <a:ext uri="{FF2B5EF4-FFF2-40B4-BE49-F238E27FC236}">
              <a16:creationId xmlns="" xmlns:a16="http://schemas.microsoft.com/office/drawing/2014/main" id="{00000000-0008-0000-0300-00003700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56" name="Рисунок 2">
          <a:extLst>
            <a:ext uri="{FF2B5EF4-FFF2-40B4-BE49-F238E27FC236}">
              <a16:creationId xmlns="" xmlns:a16="http://schemas.microsoft.com/office/drawing/2014/main" id="{00000000-0008-0000-0300-00003800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57" name="Рисунок 2">
          <a:extLst>
            <a:ext uri="{FF2B5EF4-FFF2-40B4-BE49-F238E27FC236}">
              <a16:creationId xmlns="" xmlns:a16="http://schemas.microsoft.com/office/drawing/2014/main" id="{00000000-0008-0000-0300-00003900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58" name="Рисунок 2">
          <a:extLst>
            <a:ext uri="{FF2B5EF4-FFF2-40B4-BE49-F238E27FC236}">
              <a16:creationId xmlns="" xmlns:a16="http://schemas.microsoft.com/office/drawing/2014/main" id="{00000000-0008-0000-0300-00003A00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59" name="Рисунок 2">
          <a:extLst>
            <a:ext uri="{FF2B5EF4-FFF2-40B4-BE49-F238E27FC236}">
              <a16:creationId xmlns="" xmlns:a16="http://schemas.microsoft.com/office/drawing/2014/main" id="{00000000-0008-0000-0300-00003B00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60" name="Рисунок 2">
          <a:extLst>
            <a:ext uri="{FF2B5EF4-FFF2-40B4-BE49-F238E27FC236}">
              <a16:creationId xmlns="" xmlns:a16="http://schemas.microsoft.com/office/drawing/2014/main" id="{00000000-0008-0000-0300-00003C00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61" name="Рисунок 2">
          <a:extLst>
            <a:ext uri="{FF2B5EF4-FFF2-40B4-BE49-F238E27FC236}">
              <a16:creationId xmlns="" xmlns:a16="http://schemas.microsoft.com/office/drawing/2014/main" id="{00000000-0008-0000-0300-00003D00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62" name="Рисунок 2">
          <a:extLst>
            <a:ext uri="{FF2B5EF4-FFF2-40B4-BE49-F238E27FC236}">
              <a16:creationId xmlns="" xmlns:a16="http://schemas.microsoft.com/office/drawing/2014/main" id="{00000000-0008-0000-0300-00003E00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63" name="Рисунок 2">
          <a:extLst>
            <a:ext uri="{FF2B5EF4-FFF2-40B4-BE49-F238E27FC236}">
              <a16:creationId xmlns="" xmlns:a16="http://schemas.microsoft.com/office/drawing/2014/main" id="{00000000-0008-0000-0300-00003F00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64" name="Рисунок 2">
          <a:extLst>
            <a:ext uri="{FF2B5EF4-FFF2-40B4-BE49-F238E27FC236}">
              <a16:creationId xmlns="" xmlns:a16="http://schemas.microsoft.com/office/drawing/2014/main" id="{00000000-0008-0000-0300-00004000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65" name="Рисунок 2">
          <a:extLst>
            <a:ext uri="{FF2B5EF4-FFF2-40B4-BE49-F238E27FC236}">
              <a16:creationId xmlns="" xmlns:a16="http://schemas.microsoft.com/office/drawing/2014/main" id="{00000000-0008-0000-0300-00004100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66" name="Рисунок 2">
          <a:extLst>
            <a:ext uri="{FF2B5EF4-FFF2-40B4-BE49-F238E27FC236}">
              <a16:creationId xmlns="" xmlns:a16="http://schemas.microsoft.com/office/drawing/2014/main" id="{00000000-0008-0000-0300-00004200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67" name="Рисунок 2">
          <a:extLst>
            <a:ext uri="{FF2B5EF4-FFF2-40B4-BE49-F238E27FC236}">
              <a16:creationId xmlns="" xmlns:a16="http://schemas.microsoft.com/office/drawing/2014/main" id="{00000000-0008-0000-0300-00004300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68" name="Рисунок 2">
          <a:extLst>
            <a:ext uri="{FF2B5EF4-FFF2-40B4-BE49-F238E27FC236}">
              <a16:creationId xmlns="" xmlns:a16="http://schemas.microsoft.com/office/drawing/2014/main" id="{00000000-0008-0000-0300-00004400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69" name="Рисунок 2">
          <a:extLst>
            <a:ext uri="{FF2B5EF4-FFF2-40B4-BE49-F238E27FC236}">
              <a16:creationId xmlns="" xmlns:a16="http://schemas.microsoft.com/office/drawing/2014/main" id="{00000000-0008-0000-0300-00004500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70" name="Рисунок 2">
          <a:extLst>
            <a:ext uri="{FF2B5EF4-FFF2-40B4-BE49-F238E27FC236}">
              <a16:creationId xmlns="" xmlns:a16="http://schemas.microsoft.com/office/drawing/2014/main" id="{00000000-0008-0000-0300-00004600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71" name="Рисунок 2">
          <a:extLst>
            <a:ext uri="{FF2B5EF4-FFF2-40B4-BE49-F238E27FC236}">
              <a16:creationId xmlns="" xmlns:a16="http://schemas.microsoft.com/office/drawing/2014/main" id="{00000000-0008-0000-0300-00004700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72" name="Рисунок 2">
          <a:extLst>
            <a:ext uri="{FF2B5EF4-FFF2-40B4-BE49-F238E27FC236}">
              <a16:creationId xmlns="" xmlns:a16="http://schemas.microsoft.com/office/drawing/2014/main" id="{00000000-0008-0000-0300-00004800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73" name="Рисунок 2">
          <a:extLst>
            <a:ext uri="{FF2B5EF4-FFF2-40B4-BE49-F238E27FC236}">
              <a16:creationId xmlns="" xmlns:a16="http://schemas.microsoft.com/office/drawing/2014/main" id="{00000000-0008-0000-0300-00004900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74" name="Рисунок 2">
          <a:extLst>
            <a:ext uri="{FF2B5EF4-FFF2-40B4-BE49-F238E27FC236}">
              <a16:creationId xmlns="" xmlns:a16="http://schemas.microsoft.com/office/drawing/2014/main" id="{00000000-0008-0000-0300-00004A00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75" name="Рисунок 2">
          <a:extLst>
            <a:ext uri="{FF2B5EF4-FFF2-40B4-BE49-F238E27FC236}">
              <a16:creationId xmlns="" xmlns:a16="http://schemas.microsoft.com/office/drawing/2014/main" id="{00000000-0008-0000-0300-00004B00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76" name="Рисунок 2">
          <a:extLst>
            <a:ext uri="{FF2B5EF4-FFF2-40B4-BE49-F238E27FC236}">
              <a16:creationId xmlns="" xmlns:a16="http://schemas.microsoft.com/office/drawing/2014/main" id="{00000000-0008-0000-0300-00004C00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77" name="Рисунок 2">
          <a:extLst>
            <a:ext uri="{FF2B5EF4-FFF2-40B4-BE49-F238E27FC236}">
              <a16:creationId xmlns="" xmlns:a16="http://schemas.microsoft.com/office/drawing/2014/main" id="{00000000-0008-0000-0300-00004D00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78" name="Рисунок 2">
          <a:extLst>
            <a:ext uri="{FF2B5EF4-FFF2-40B4-BE49-F238E27FC236}">
              <a16:creationId xmlns="" xmlns:a16="http://schemas.microsoft.com/office/drawing/2014/main" id="{00000000-0008-0000-0300-00004E00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79" name="Рисунок 2">
          <a:extLst>
            <a:ext uri="{FF2B5EF4-FFF2-40B4-BE49-F238E27FC236}">
              <a16:creationId xmlns="" xmlns:a16="http://schemas.microsoft.com/office/drawing/2014/main" id="{00000000-0008-0000-0300-00004F00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80" name="Рисунок 2">
          <a:extLst>
            <a:ext uri="{FF2B5EF4-FFF2-40B4-BE49-F238E27FC236}">
              <a16:creationId xmlns="" xmlns:a16="http://schemas.microsoft.com/office/drawing/2014/main" id="{00000000-0008-0000-0300-00005000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0</xdr:row>
      <xdr:rowOff>180975</xdr:rowOff>
    </xdr:from>
    <xdr:to>
      <xdr:col>1</xdr:col>
      <xdr:colOff>238125</xdr:colOff>
      <xdr:row>1</xdr:row>
      <xdr:rowOff>66675</xdr:rowOff>
    </xdr:to>
    <xdr:sp macro="" textlink="">
      <xdr:nvSpPr>
        <xdr:cNvPr id="81" name="Рисунок 2">
          <a:extLst>
            <a:ext uri="{FF2B5EF4-FFF2-40B4-BE49-F238E27FC236}">
              <a16:creationId xmlns="" xmlns:a16="http://schemas.microsoft.com/office/drawing/2014/main" id="{00000000-0008-0000-0300-000051000000}"/>
            </a:ext>
          </a:extLst>
        </xdr:cNvPr>
        <xdr:cNvSpPr>
          <a:spLocks noChangeArrowheads="1"/>
        </xdr:cNvSpPr>
      </xdr:nvSpPr>
      <xdr:spPr bwMode="auto">
        <a:xfrm>
          <a:off x="752475" y="18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83" name="Рисунок 2">
          <a:extLst>
            <a:ext uri="{FF2B5EF4-FFF2-40B4-BE49-F238E27FC236}">
              <a16:creationId xmlns="" xmlns:a16="http://schemas.microsoft.com/office/drawing/2014/main" id="{00000000-0008-0000-0300-00005300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84" name="Рисунок 2">
          <a:extLst>
            <a:ext uri="{FF2B5EF4-FFF2-40B4-BE49-F238E27FC236}">
              <a16:creationId xmlns="" xmlns:a16="http://schemas.microsoft.com/office/drawing/2014/main" id="{00000000-0008-0000-0300-00005400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85" name="Рисунок 2">
          <a:extLst>
            <a:ext uri="{FF2B5EF4-FFF2-40B4-BE49-F238E27FC236}">
              <a16:creationId xmlns="" xmlns:a16="http://schemas.microsoft.com/office/drawing/2014/main" id="{00000000-0008-0000-0300-00005500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86" name="Рисунок 2">
          <a:extLst>
            <a:ext uri="{FF2B5EF4-FFF2-40B4-BE49-F238E27FC236}">
              <a16:creationId xmlns="" xmlns:a16="http://schemas.microsoft.com/office/drawing/2014/main" id="{00000000-0008-0000-0300-00005600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87" name="Рисунок 2">
          <a:extLst>
            <a:ext uri="{FF2B5EF4-FFF2-40B4-BE49-F238E27FC236}">
              <a16:creationId xmlns="" xmlns:a16="http://schemas.microsoft.com/office/drawing/2014/main" id="{00000000-0008-0000-0300-00005700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88" name="Рисунок 2">
          <a:extLst>
            <a:ext uri="{FF2B5EF4-FFF2-40B4-BE49-F238E27FC236}">
              <a16:creationId xmlns="" xmlns:a16="http://schemas.microsoft.com/office/drawing/2014/main" id="{00000000-0008-0000-0300-00005800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89" name="Рисунок 2">
          <a:extLst>
            <a:ext uri="{FF2B5EF4-FFF2-40B4-BE49-F238E27FC236}">
              <a16:creationId xmlns="" xmlns:a16="http://schemas.microsoft.com/office/drawing/2014/main" id="{00000000-0008-0000-0300-00005900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90" name="Рисунок 2">
          <a:extLst>
            <a:ext uri="{FF2B5EF4-FFF2-40B4-BE49-F238E27FC236}">
              <a16:creationId xmlns="" xmlns:a16="http://schemas.microsoft.com/office/drawing/2014/main" id="{00000000-0008-0000-0300-00005A00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91" name="Рисунок 2">
          <a:extLst>
            <a:ext uri="{FF2B5EF4-FFF2-40B4-BE49-F238E27FC236}">
              <a16:creationId xmlns="" xmlns:a16="http://schemas.microsoft.com/office/drawing/2014/main" id="{00000000-0008-0000-0300-00005B00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92" name="Рисунок 2">
          <a:extLst>
            <a:ext uri="{FF2B5EF4-FFF2-40B4-BE49-F238E27FC236}">
              <a16:creationId xmlns="" xmlns:a16="http://schemas.microsoft.com/office/drawing/2014/main" id="{00000000-0008-0000-0300-00005C00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93" name="Рисунок 2">
          <a:extLst>
            <a:ext uri="{FF2B5EF4-FFF2-40B4-BE49-F238E27FC236}">
              <a16:creationId xmlns="" xmlns:a16="http://schemas.microsoft.com/office/drawing/2014/main" id="{00000000-0008-0000-0300-00005D00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94" name="Рисунок 2">
          <a:extLst>
            <a:ext uri="{FF2B5EF4-FFF2-40B4-BE49-F238E27FC236}">
              <a16:creationId xmlns="" xmlns:a16="http://schemas.microsoft.com/office/drawing/2014/main" id="{00000000-0008-0000-0300-00005E00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95" name="Рисунок 2">
          <a:extLst>
            <a:ext uri="{FF2B5EF4-FFF2-40B4-BE49-F238E27FC236}">
              <a16:creationId xmlns="" xmlns:a16="http://schemas.microsoft.com/office/drawing/2014/main" id="{00000000-0008-0000-0300-00005F00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96" name="Рисунок 2">
          <a:extLst>
            <a:ext uri="{FF2B5EF4-FFF2-40B4-BE49-F238E27FC236}">
              <a16:creationId xmlns="" xmlns:a16="http://schemas.microsoft.com/office/drawing/2014/main" id="{00000000-0008-0000-0300-00006000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97" name="Рисунок 2">
          <a:extLst>
            <a:ext uri="{FF2B5EF4-FFF2-40B4-BE49-F238E27FC236}">
              <a16:creationId xmlns="" xmlns:a16="http://schemas.microsoft.com/office/drawing/2014/main" id="{00000000-0008-0000-0300-00006100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98" name="Рисунок 2">
          <a:extLst>
            <a:ext uri="{FF2B5EF4-FFF2-40B4-BE49-F238E27FC236}">
              <a16:creationId xmlns="" xmlns:a16="http://schemas.microsoft.com/office/drawing/2014/main" id="{00000000-0008-0000-0300-00006200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99" name="Рисунок 2">
          <a:extLst>
            <a:ext uri="{FF2B5EF4-FFF2-40B4-BE49-F238E27FC236}">
              <a16:creationId xmlns="" xmlns:a16="http://schemas.microsoft.com/office/drawing/2014/main" id="{00000000-0008-0000-0300-00006300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100" name="Рисунок 2">
          <a:extLst>
            <a:ext uri="{FF2B5EF4-FFF2-40B4-BE49-F238E27FC236}">
              <a16:creationId xmlns="" xmlns:a16="http://schemas.microsoft.com/office/drawing/2014/main" id="{00000000-0008-0000-0300-00006400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101" name="Рисунок 2">
          <a:extLst>
            <a:ext uri="{FF2B5EF4-FFF2-40B4-BE49-F238E27FC236}">
              <a16:creationId xmlns="" xmlns:a16="http://schemas.microsoft.com/office/drawing/2014/main" id="{00000000-0008-0000-0300-00006500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102" name="Рисунок 2">
          <a:extLst>
            <a:ext uri="{FF2B5EF4-FFF2-40B4-BE49-F238E27FC236}">
              <a16:creationId xmlns="" xmlns:a16="http://schemas.microsoft.com/office/drawing/2014/main" id="{00000000-0008-0000-0300-00006600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103" name="Рисунок 2">
          <a:extLst>
            <a:ext uri="{FF2B5EF4-FFF2-40B4-BE49-F238E27FC236}">
              <a16:creationId xmlns="" xmlns:a16="http://schemas.microsoft.com/office/drawing/2014/main" id="{00000000-0008-0000-0300-00006700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104" name="Рисунок 2">
          <a:extLst>
            <a:ext uri="{FF2B5EF4-FFF2-40B4-BE49-F238E27FC236}">
              <a16:creationId xmlns="" xmlns:a16="http://schemas.microsoft.com/office/drawing/2014/main" id="{00000000-0008-0000-0300-00006800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105" name="Рисунок 2">
          <a:extLst>
            <a:ext uri="{FF2B5EF4-FFF2-40B4-BE49-F238E27FC236}">
              <a16:creationId xmlns="" xmlns:a16="http://schemas.microsoft.com/office/drawing/2014/main" id="{00000000-0008-0000-0300-00006900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106" name="Рисунок 2">
          <a:extLst>
            <a:ext uri="{FF2B5EF4-FFF2-40B4-BE49-F238E27FC236}">
              <a16:creationId xmlns="" xmlns:a16="http://schemas.microsoft.com/office/drawing/2014/main" id="{00000000-0008-0000-0300-00006A00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107" name="Рисунок 2">
          <a:extLst>
            <a:ext uri="{FF2B5EF4-FFF2-40B4-BE49-F238E27FC236}">
              <a16:creationId xmlns="" xmlns:a16="http://schemas.microsoft.com/office/drawing/2014/main" id="{00000000-0008-0000-0300-00006B00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108" name="Рисунок 2">
          <a:extLst>
            <a:ext uri="{FF2B5EF4-FFF2-40B4-BE49-F238E27FC236}">
              <a16:creationId xmlns="" xmlns:a16="http://schemas.microsoft.com/office/drawing/2014/main" id="{00000000-0008-0000-0300-00006C00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109" name="Рисунок 2">
          <a:extLst>
            <a:ext uri="{FF2B5EF4-FFF2-40B4-BE49-F238E27FC236}">
              <a16:creationId xmlns="" xmlns:a16="http://schemas.microsoft.com/office/drawing/2014/main" id="{00000000-0008-0000-0300-00006D00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110" name="Рисунок 2">
          <a:extLst>
            <a:ext uri="{FF2B5EF4-FFF2-40B4-BE49-F238E27FC236}">
              <a16:creationId xmlns="" xmlns:a16="http://schemas.microsoft.com/office/drawing/2014/main" id="{00000000-0008-0000-0300-00006E00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111" name="Рисунок 2">
          <a:extLst>
            <a:ext uri="{FF2B5EF4-FFF2-40B4-BE49-F238E27FC236}">
              <a16:creationId xmlns="" xmlns:a16="http://schemas.microsoft.com/office/drawing/2014/main" id="{00000000-0008-0000-0300-00006F00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112" name="Рисунок 2">
          <a:extLst>
            <a:ext uri="{FF2B5EF4-FFF2-40B4-BE49-F238E27FC236}">
              <a16:creationId xmlns="" xmlns:a16="http://schemas.microsoft.com/office/drawing/2014/main" id="{00000000-0008-0000-0300-00007000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113" name="Рисунок 2">
          <a:extLst>
            <a:ext uri="{FF2B5EF4-FFF2-40B4-BE49-F238E27FC236}">
              <a16:creationId xmlns="" xmlns:a16="http://schemas.microsoft.com/office/drawing/2014/main" id="{00000000-0008-0000-0300-00007100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114" name="Рисунок 2">
          <a:extLst>
            <a:ext uri="{FF2B5EF4-FFF2-40B4-BE49-F238E27FC236}">
              <a16:creationId xmlns="" xmlns:a16="http://schemas.microsoft.com/office/drawing/2014/main" id="{00000000-0008-0000-0300-00007200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115" name="Рисунок 2">
          <a:extLst>
            <a:ext uri="{FF2B5EF4-FFF2-40B4-BE49-F238E27FC236}">
              <a16:creationId xmlns="" xmlns:a16="http://schemas.microsoft.com/office/drawing/2014/main" id="{00000000-0008-0000-0300-00007300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116" name="Рисунок 2">
          <a:extLst>
            <a:ext uri="{FF2B5EF4-FFF2-40B4-BE49-F238E27FC236}">
              <a16:creationId xmlns="" xmlns:a16="http://schemas.microsoft.com/office/drawing/2014/main" id="{00000000-0008-0000-0300-00007400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117" name="Рисунок 2">
          <a:extLst>
            <a:ext uri="{FF2B5EF4-FFF2-40B4-BE49-F238E27FC236}">
              <a16:creationId xmlns="" xmlns:a16="http://schemas.microsoft.com/office/drawing/2014/main" id="{00000000-0008-0000-0300-00007500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118" name="Рисунок 2">
          <a:extLst>
            <a:ext uri="{FF2B5EF4-FFF2-40B4-BE49-F238E27FC236}">
              <a16:creationId xmlns="" xmlns:a16="http://schemas.microsoft.com/office/drawing/2014/main" id="{00000000-0008-0000-0300-00007600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119" name="Рисунок 2">
          <a:extLst>
            <a:ext uri="{FF2B5EF4-FFF2-40B4-BE49-F238E27FC236}">
              <a16:creationId xmlns="" xmlns:a16="http://schemas.microsoft.com/office/drawing/2014/main" id="{00000000-0008-0000-0300-00007700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120" name="Рисунок 2">
          <a:extLst>
            <a:ext uri="{FF2B5EF4-FFF2-40B4-BE49-F238E27FC236}">
              <a16:creationId xmlns="" xmlns:a16="http://schemas.microsoft.com/office/drawing/2014/main" id="{00000000-0008-0000-0300-00007800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121" name="Рисунок 2">
          <a:extLst>
            <a:ext uri="{FF2B5EF4-FFF2-40B4-BE49-F238E27FC236}">
              <a16:creationId xmlns="" xmlns:a16="http://schemas.microsoft.com/office/drawing/2014/main" id="{00000000-0008-0000-0300-00007900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122" name="Рисунок 2">
          <a:extLst>
            <a:ext uri="{FF2B5EF4-FFF2-40B4-BE49-F238E27FC236}">
              <a16:creationId xmlns="" xmlns:a16="http://schemas.microsoft.com/office/drawing/2014/main" id="{00000000-0008-0000-0300-00007A00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123" name="Рисунок 2">
          <a:extLst>
            <a:ext uri="{FF2B5EF4-FFF2-40B4-BE49-F238E27FC236}">
              <a16:creationId xmlns="" xmlns:a16="http://schemas.microsoft.com/office/drawing/2014/main" id="{00000000-0008-0000-0300-00007B00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124" name="Рисунок 2">
          <a:extLst>
            <a:ext uri="{FF2B5EF4-FFF2-40B4-BE49-F238E27FC236}">
              <a16:creationId xmlns="" xmlns:a16="http://schemas.microsoft.com/office/drawing/2014/main" id="{00000000-0008-0000-0300-00007C00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125" name="Рисунок 2">
          <a:extLst>
            <a:ext uri="{FF2B5EF4-FFF2-40B4-BE49-F238E27FC236}">
              <a16:creationId xmlns="" xmlns:a16="http://schemas.microsoft.com/office/drawing/2014/main" id="{00000000-0008-0000-0300-00007D00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126" name="Рисунок 2">
          <a:extLst>
            <a:ext uri="{FF2B5EF4-FFF2-40B4-BE49-F238E27FC236}">
              <a16:creationId xmlns="" xmlns:a16="http://schemas.microsoft.com/office/drawing/2014/main" id="{00000000-0008-0000-0300-00007E00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127" name="Рисунок 2">
          <a:extLst>
            <a:ext uri="{FF2B5EF4-FFF2-40B4-BE49-F238E27FC236}">
              <a16:creationId xmlns="" xmlns:a16="http://schemas.microsoft.com/office/drawing/2014/main" id="{00000000-0008-0000-0300-00007F00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128" name="Рисунок 2">
          <a:extLst>
            <a:ext uri="{FF2B5EF4-FFF2-40B4-BE49-F238E27FC236}">
              <a16:creationId xmlns="" xmlns:a16="http://schemas.microsoft.com/office/drawing/2014/main" id="{00000000-0008-0000-0300-00008000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129" name="Рисунок 2">
          <a:extLst>
            <a:ext uri="{FF2B5EF4-FFF2-40B4-BE49-F238E27FC236}">
              <a16:creationId xmlns="" xmlns:a16="http://schemas.microsoft.com/office/drawing/2014/main" id="{00000000-0008-0000-0300-00008100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130" name="Рисунок 2">
          <a:extLst>
            <a:ext uri="{FF2B5EF4-FFF2-40B4-BE49-F238E27FC236}">
              <a16:creationId xmlns="" xmlns:a16="http://schemas.microsoft.com/office/drawing/2014/main" id="{00000000-0008-0000-0300-00008200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131" name="Рисунок 2">
          <a:extLst>
            <a:ext uri="{FF2B5EF4-FFF2-40B4-BE49-F238E27FC236}">
              <a16:creationId xmlns="" xmlns:a16="http://schemas.microsoft.com/office/drawing/2014/main" id="{00000000-0008-0000-0300-00008300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132" name="Рисунок 2">
          <a:extLst>
            <a:ext uri="{FF2B5EF4-FFF2-40B4-BE49-F238E27FC236}">
              <a16:creationId xmlns="" xmlns:a16="http://schemas.microsoft.com/office/drawing/2014/main" id="{00000000-0008-0000-0300-00008400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133" name="Рисунок 2">
          <a:extLst>
            <a:ext uri="{FF2B5EF4-FFF2-40B4-BE49-F238E27FC236}">
              <a16:creationId xmlns="" xmlns:a16="http://schemas.microsoft.com/office/drawing/2014/main" id="{00000000-0008-0000-0300-00008500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134" name="Рисунок 2">
          <a:extLst>
            <a:ext uri="{FF2B5EF4-FFF2-40B4-BE49-F238E27FC236}">
              <a16:creationId xmlns="" xmlns:a16="http://schemas.microsoft.com/office/drawing/2014/main" id="{00000000-0008-0000-0300-00008600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135" name="Рисунок 2">
          <a:extLst>
            <a:ext uri="{FF2B5EF4-FFF2-40B4-BE49-F238E27FC236}">
              <a16:creationId xmlns="" xmlns:a16="http://schemas.microsoft.com/office/drawing/2014/main" id="{00000000-0008-0000-0300-00008700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136" name="Рисунок 2">
          <a:extLst>
            <a:ext uri="{FF2B5EF4-FFF2-40B4-BE49-F238E27FC236}">
              <a16:creationId xmlns="" xmlns:a16="http://schemas.microsoft.com/office/drawing/2014/main" id="{00000000-0008-0000-0300-00008800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137" name="Рисунок 2">
          <a:extLst>
            <a:ext uri="{FF2B5EF4-FFF2-40B4-BE49-F238E27FC236}">
              <a16:creationId xmlns="" xmlns:a16="http://schemas.microsoft.com/office/drawing/2014/main" id="{00000000-0008-0000-0300-00008900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138" name="Рисунок 2">
          <a:extLst>
            <a:ext uri="{FF2B5EF4-FFF2-40B4-BE49-F238E27FC236}">
              <a16:creationId xmlns="" xmlns:a16="http://schemas.microsoft.com/office/drawing/2014/main" id="{00000000-0008-0000-0300-00008A00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139" name="Рисунок 2">
          <a:extLst>
            <a:ext uri="{FF2B5EF4-FFF2-40B4-BE49-F238E27FC236}">
              <a16:creationId xmlns="" xmlns:a16="http://schemas.microsoft.com/office/drawing/2014/main" id="{00000000-0008-0000-0300-00008B00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140" name="Рисунок 2">
          <a:extLst>
            <a:ext uri="{FF2B5EF4-FFF2-40B4-BE49-F238E27FC236}">
              <a16:creationId xmlns="" xmlns:a16="http://schemas.microsoft.com/office/drawing/2014/main" id="{00000000-0008-0000-0300-00008C00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141" name="Рисунок 2">
          <a:extLst>
            <a:ext uri="{FF2B5EF4-FFF2-40B4-BE49-F238E27FC236}">
              <a16:creationId xmlns="" xmlns:a16="http://schemas.microsoft.com/office/drawing/2014/main" id="{00000000-0008-0000-0300-00008D00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142" name="Рисунок 2">
          <a:extLst>
            <a:ext uri="{FF2B5EF4-FFF2-40B4-BE49-F238E27FC236}">
              <a16:creationId xmlns="" xmlns:a16="http://schemas.microsoft.com/office/drawing/2014/main" id="{00000000-0008-0000-0300-00008E00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143" name="Рисунок 2">
          <a:extLst>
            <a:ext uri="{FF2B5EF4-FFF2-40B4-BE49-F238E27FC236}">
              <a16:creationId xmlns="" xmlns:a16="http://schemas.microsoft.com/office/drawing/2014/main" id="{00000000-0008-0000-0300-00008F00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144" name="Рисунок 2">
          <a:extLst>
            <a:ext uri="{FF2B5EF4-FFF2-40B4-BE49-F238E27FC236}">
              <a16:creationId xmlns="" xmlns:a16="http://schemas.microsoft.com/office/drawing/2014/main" id="{00000000-0008-0000-0300-00009000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145" name="Рисунок 2">
          <a:extLst>
            <a:ext uri="{FF2B5EF4-FFF2-40B4-BE49-F238E27FC236}">
              <a16:creationId xmlns="" xmlns:a16="http://schemas.microsoft.com/office/drawing/2014/main" id="{00000000-0008-0000-0300-00009100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146" name="Рисунок 2">
          <a:extLst>
            <a:ext uri="{FF2B5EF4-FFF2-40B4-BE49-F238E27FC236}">
              <a16:creationId xmlns="" xmlns:a16="http://schemas.microsoft.com/office/drawing/2014/main" id="{00000000-0008-0000-0300-00009200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147" name="Рисунок 2">
          <a:extLst>
            <a:ext uri="{FF2B5EF4-FFF2-40B4-BE49-F238E27FC236}">
              <a16:creationId xmlns="" xmlns:a16="http://schemas.microsoft.com/office/drawing/2014/main" id="{00000000-0008-0000-0300-00009300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148" name="Рисунок 2">
          <a:extLst>
            <a:ext uri="{FF2B5EF4-FFF2-40B4-BE49-F238E27FC236}">
              <a16:creationId xmlns="" xmlns:a16="http://schemas.microsoft.com/office/drawing/2014/main" id="{00000000-0008-0000-0300-00009400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149" name="Рисунок 2">
          <a:extLst>
            <a:ext uri="{FF2B5EF4-FFF2-40B4-BE49-F238E27FC236}">
              <a16:creationId xmlns="" xmlns:a16="http://schemas.microsoft.com/office/drawing/2014/main" id="{00000000-0008-0000-0300-00009500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150" name="Рисунок 2">
          <a:extLst>
            <a:ext uri="{FF2B5EF4-FFF2-40B4-BE49-F238E27FC236}">
              <a16:creationId xmlns="" xmlns:a16="http://schemas.microsoft.com/office/drawing/2014/main" id="{00000000-0008-0000-0300-00009600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151" name="Рисунок 2">
          <a:extLst>
            <a:ext uri="{FF2B5EF4-FFF2-40B4-BE49-F238E27FC236}">
              <a16:creationId xmlns="" xmlns:a16="http://schemas.microsoft.com/office/drawing/2014/main" id="{00000000-0008-0000-0300-00009700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152" name="Рисунок 2">
          <a:extLst>
            <a:ext uri="{FF2B5EF4-FFF2-40B4-BE49-F238E27FC236}">
              <a16:creationId xmlns="" xmlns:a16="http://schemas.microsoft.com/office/drawing/2014/main" id="{00000000-0008-0000-0300-00009800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153" name="Рисунок 2">
          <a:extLst>
            <a:ext uri="{FF2B5EF4-FFF2-40B4-BE49-F238E27FC236}">
              <a16:creationId xmlns="" xmlns:a16="http://schemas.microsoft.com/office/drawing/2014/main" id="{00000000-0008-0000-0300-00009900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154" name="Рисунок 2">
          <a:extLst>
            <a:ext uri="{FF2B5EF4-FFF2-40B4-BE49-F238E27FC236}">
              <a16:creationId xmlns="" xmlns:a16="http://schemas.microsoft.com/office/drawing/2014/main" id="{00000000-0008-0000-0300-00009A00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155" name="Рисунок 2">
          <a:extLst>
            <a:ext uri="{FF2B5EF4-FFF2-40B4-BE49-F238E27FC236}">
              <a16:creationId xmlns="" xmlns:a16="http://schemas.microsoft.com/office/drawing/2014/main" id="{00000000-0008-0000-0300-00009B00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156" name="Рисунок 2">
          <a:extLst>
            <a:ext uri="{FF2B5EF4-FFF2-40B4-BE49-F238E27FC236}">
              <a16:creationId xmlns="" xmlns:a16="http://schemas.microsoft.com/office/drawing/2014/main" id="{00000000-0008-0000-0300-00009C00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157" name="Рисунок 2">
          <a:extLst>
            <a:ext uri="{FF2B5EF4-FFF2-40B4-BE49-F238E27FC236}">
              <a16:creationId xmlns="" xmlns:a16="http://schemas.microsoft.com/office/drawing/2014/main" id="{00000000-0008-0000-0300-00009D00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158" name="Рисунок 2">
          <a:extLst>
            <a:ext uri="{FF2B5EF4-FFF2-40B4-BE49-F238E27FC236}">
              <a16:creationId xmlns="" xmlns:a16="http://schemas.microsoft.com/office/drawing/2014/main" id="{00000000-0008-0000-0300-00009E00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159" name="Рисунок 2">
          <a:extLst>
            <a:ext uri="{FF2B5EF4-FFF2-40B4-BE49-F238E27FC236}">
              <a16:creationId xmlns="" xmlns:a16="http://schemas.microsoft.com/office/drawing/2014/main" id="{00000000-0008-0000-0300-00009F00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160" name="Рисунок 2">
          <a:extLst>
            <a:ext uri="{FF2B5EF4-FFF2-40B4-BE49-F238E27FC236}">
              <a16:creationId xmlns="" xmlns:a16="http://schemas.microsoft.com/office/drawing/2014/main" id="{00000000-0008-0000-0300-0000A000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0</xdr:row>
      <xdr:rowOff>180975</xdr:rowOff>
    </xdr:from>
    <xdr:to>
      <xdr:col>1</xdr:col>
      <xdr:colOff>238125</xdr:colOff>
      <xdr:row>1</xdr:row>
      <xdr:rowOff>66675</xdr:rowOff>
    </xdr:to>
    <xdr:sp macro="" textlink="">
      <xdr:nvSpPr>
        <xdr:cNvPr id="161" name="Рисунок 2">
          <a:extLst>
            <a:ext uri="{FF2B5EF4-FFF2-40B4-BE49-F238E27FC236}">
              <a16:creationId xmlns="" xmlns:a16="http://schemas.microsoft.com/office/drawing/2014/main" id="{00000000-0008-0000-0300-0000A1000000}"/>
            </a:ext>
          </a:extLst>
        </xdr:cNvPr>
        <xdr:cNvSpPr>
          <a:spLocks noChangeArrowheads="1"/>
        </xdr:cNvSpPr>
      </xdr:nvSpPr>
      <xdr:spPr bwMode="auto">
        <a:xfrm>
          <a:off x="752475" y="18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400050</xdr:colOff>
      <xdr:row>2</xdr:row>
      <xdr:rowOff>9525</xdr:rowOff>
    </xdr:from>
    <xdr:to>
      <xdr:col>11</xdr:col>
      <xdr:colOff>47625</xdr:colOff>
      <xdr:row>5</xdr:row>
      <xdr:rowOff>152400</xdr:rowOff>
    </xdr:to>
    <xdr:sp macro="" textlink="">
      <xdr:nvSpPr>
        <xdr:cNvPr id="162" name="TextBox 191">
          <a:extLst>
            <a:ext uri="{FF2B5EF4-FFF2-40B4-BE49-F238E27FC236}">
              <a16:creationId xmlns="" xmlns:a16="http://schemas.microsoft.com/office/drawing/2014/main" id="{00000000-0008-0000-0300-0000A2000000}"/>
            </a:ext>
          </a:extLst>
        </xdr:cNvPr>
        <xdr:cNvSpPr txBox="1">
          <a:spLocks noChangeArrowheads="1"/>
        </xdr:cNvSpPr>
      </xdr:nvSpPr>
      <xdr:spPr bwMode="auto">
        <a:xfrm>
          <a:off x="2838450" y="390525"/>
          <a:ext cx="3914775" cy="714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prstDash val="solid"/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ru-RU" sz="1800" b="1" i="0" u="none" strike="noStrike" baseline="0">
              <a:solidFill>
                <a:srgbClr val="333333"/>
              </a:solidFill>
              <a:latin typeface="Calibri"/>
              <a:cs typeface="Calibri"/>
            </a:rPr>
            <a:t>THIS DOCUMENT IS ENCRYPTED BY</a:t>
          </a:r>
        </a:p>
        <a:p>
          <a:pPr algn="l" rtl="0">
            <a:defRPr sz="1000"/>
          </a:pPr>
          <a:r>
            <a:rPr lang="ru-RU" sz="1800" b="1" i="0" u="none" strike="noStrike" baseline="0">
              <a:solidFill>
                <a:srgbClr val="0066CC"/>
              </a:solidFill>
              <a:latin typeface="Calibri"/>
              <a:cs typeface="Calibri"/>
            </a:rPr>
            <a:t>   DOCUSIGN® PROTECT SERVICE</a:t>
          </a:r>
        </a:p>
      </xdr:txBody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165" name="Рисунок 2">
          <a:extLst>
            <a:ext uri="{FF2B5EF4-FFF2-40B4-BE49-F238E27FC236}">
              <a16:creationId xmlns="" xmlns:a16="http://schemas.microsoft.com/office/drawing/2014/main" id="{00000000-0008-0000-0300-0000A500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166" name="Рисунок 2">
          <a:extLst>
            <a:ext uri="{FF2B5EF4-FFF2-40B4-BE49-F238E27FC236}">
              <a16:creationId xmlns="" xmlns:a16="http://schemas.microsoft.com/office/drawing/2014/main" id="{00000000-0008-0000-0300-0000A600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167" name="Рисунок 2">
          <a:extLst>
            <a:ext uri="{FF2B5EF4-FFF2-40B4-BE49-F238E27FC236}">
              <a16:creationId xmlns="" xmlns:a16="http://schemas.microsoft.com/office/drawing/2014/main" id="{00000000-0008-0000-0300-0000A700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168" name="Рисунок 2">
          <a:extLst>
            <a:ext uri="{FF2B5EF4-FFF2-40B4-BE49-F238E27FC236}">
              <a16:creationId xmlns="" xmlns:a16="http://schemas.microsoft.com/office/drawing/2014/main" id="{00000000-0008-0000-0300-0000A800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169" name="Рисунок 2">
          <a:extLst>
            <a:ext uri="{FF2B5EF4-FFF2-40B4-BE49-F238E27FC236}">
              <a16:creationId xmlns="" xmlns:a16="http://schemas.microsoft.com/office/drawing/2014/main" id="{00000000-0008-0000-0300-0000A900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170" name="Рисунок 2">
          <a:extLst>
            <a:ext uri="{FF2B5EF4-FFF2-40B4-BE49-F238E27FC236}">
              <a16:creationId xmlns="" xmlns:a16="http://schemas.microsoft.com/office/drawing/2014/main" id="{00000000-0008-0000-0300-0000AA00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171" name="Рисунок 2">
          <a:extLst>
            <a:ext uri="{FF2B5EF4-FFF2-40B4-BE49-F238E27FC236}">
              <a16:creationId xmlns="" xmlns:a16="http://schemas.microsoft.com/office/drawing/2014/main" id="{00000000-0008-0000-0300-0000AB00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172" name="Рисунок 2">
          <a:extLst>
            <a:ext uri="{FF2B5EF4-FFF2-40B4-BE49-F238E27FC236}">
              <a16:creationId xmlns="" xmlns:a16="http://schemas.microsoft.com/office/drawing/2014/main" id="{00000000-0008-0000-0300-0000AC00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173" name="Рисунок 2">
          <a:extLst>
            <a:ext uri="{FF2B5EF4-FFF2-40B4-BE49-F238E27FC236}">
              <a16:creationId xmlns="" xmlns:a16="http://schemas.microsoft.com/office/drawing/2014/main" id="{00000000-0008-0000-0300-0000AD00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174" name="Рисунок 2">
          <a:extLst>
            <a:ext uri="{FF2B5EF4-FFF2-40B4-BE49-F238E27FC236}">
              <a16:creationId xmlns="" xmlns:a16="http://schemas.microsoft.com/office/drawing/2014/main" id="{00000000-0008-0000-0300-0000AE00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175" name="Рисунок 2">
          <a:extLst>
            <a:ext uri="{FF2B5EF4-FFF2-40B4-BE49-F238E27FC236}">
              <a16:creationId xmlns="" xmlns:a16="http://schemas.microsoft.com/office/drawing/2014/main" id="{00000000-0008-0000-0300-0000AF00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176" name="Рисунок 2">
          <a:extLst>
            <a:ext uri="{FF2B5EF4-FFF2-40B4-BE49-F238E27FC236}">
              <a16:creationId xmlns="" xmlns:a16="http://schemas.microsoft.com/office/drawing/2014/main" id="{00000000-0008-0000-0300-0000B000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177" name="Рисунок 2">
          <a:extLst>
            <a:ext uri="{FF2B5EF4-FFF2-40B4-BE49-F238E27FC236}">
              <a16:creationId xmlns="" xmlns:a16="http://schemas.microsoft.com/office/drawing/2014/main" id="{00000000-0008-0000-0300-0000B100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178" name="Рисунок 2">
          <a:extLst>
            <a:ext uri="{FF2B5EF4-FFF2-40B4-BE49-F238E27FC236}">
              <a16:creationId xmlns="" xmlns:a16="http://schemas.microsoft.com/office/drawing/2014/main" id="{00000000-0008-0000-0300-0000B200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179" name="Рисунок 2">
          <a:extLst>
            <a:ext uri="{FF2B5EF4-FFF2-40B4-BE49-F238E27FC236}">
              <a16:creationId xmlns="" xmlns:a16="http://schemas.microsoft.com/office/drawing/2014/main" id="{00000000-0008-0000-0300-0000B300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180" name="Рисунок 2">
          <a:extLst>
            <a:ext uri="{FF2B5EF4-FFF2-40B4-BE49-F238E27FC236}">
              <a16:creationId xmlns="" xmlns:a16="http://schemas.microsoft.com/office/drawing/2014/main" id="{00000000-0008-0000-0300-0000B400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181" name="Рисунок 2">
          <a:extLst>
            <a:ext uri="{FF2B5EF4-FFF2-40B4-BE49-F238E27FC236}">
              <a16:creationId xmlns="" xmlns:a16="http://schemas.microsoft.com/office/drawing/2014/main" id="{00000000-0008-0000-0300-0000B500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182" name="Рисунок 2">
          <a:extLst>
            <a:ext uri="{FF2B5EF4-FFF2-40B4-BE49-F238E27FC236}">
              <a16:creationId xmlns="" xmlns:a16="http://schemas.microsoft.com/office/drawing/2014/main" id="{00000000-0008-0000-0300-0000B600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183" name="Рисунок 2">
          <a:extLst>
            <a:ext uri="{FF2B5EF4-FFF2-40B4-BE49-F238E27FC236}">
              <a16:creationId xmlns="" xmlns:a16="http://schemas.microsoft.com/office/drawing/2014/main" id="{00000000-0008-0000-0300-0000B700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184" name="Рисунок 2">
          <a:extLst>
            <a:ext uri="{FF2B5EF4-FFF2-40B4-BE49-F238E27FC236}">
              <a16:creationId xmlns="" xmlns:a16="http://schemas.microsoft.com/office/drawing/2014/main" id="{00000000-0008-0000-0300-0000B800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185" name="Рисунок 2">
          <a:extLst>
            <a:ext uri="{FF2B5EF4-FFF2-40B4-BE49-F238E27FC236}">
              <a16:creationId xmlns="" xmlns:a16="http://schemas.microsoft.com/office/drawing/2014/main" id="{00000000-0008-0000-0300-0000B900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186" name="Рисунок 2">
          <a:extLst>
            <a:ext uri="{FF2B5EF4-FFF2-40B4-BE49-F238E27FC236}">
              <a16:creationId xmlns="" xmlns:a16="http://schemas.microsoft.com/office/drawing/2014/main" id="{00000000-0008-0000-0300-0000BA00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187" name="Рисунок 2">
          <a:extLst>
            <a:ext uri="{FF2B5EF4-FFF2-40B4-BE49-F238E27FC236}">
              <a16:creationId xmlns="" xmlns:a16="http://schemas.microsoft.com/office/drawing/2014/main" id="{00000000-0008-0000-0300-0000BB00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188" name="Рисунок 2">
          <a:extLst>
            <a:ext uri="{FF2B5EF4-FFF2-40B4-BE49-F238E27FC236}">
              <a16:creationId xmlns="" xmlns:a16="http://schemas.microsoft.com/office/drawing/2014/main" id="{00000000-0008-0000-0300-0000BC00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189" name="Рисунок 2">
          <a:extLst>
            <a:ext uri="{FF2B5EF4-FFF2-40B4-BE49-F238E27FC236}">
              <a16:creationId xmlns="" xmlns:a16="http://schemas.microsoft.com/office/drawing/2014/main" id="{00000000-0008-0000-0300-0000BD00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190" name="Рисунок 2">
          <a:extLst>
            <a:ext uri="{FF2B5EF4-FFF2-40B4-BE49-F238E27FC236}">
              <a16:creationId xmlns="" xmlns:a16="http://schemas.microsoft.com/office/drawing/2014/main" id="{00000000-0008-0000-0300-0000BE00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191" name="Рисунок 2">
          <a:extLst>
            <a:ext uri="{FF2B5EF4-FFF2-40B4-BE49-F238E27FC236}">
              <a16:creationId xmlns="" xmlns:a16="http://schemas.microsoft.com/office/drawing/2014/main" id="{00000000-0008-0000-0300-0000BF00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192" name="Рисунок 2">
          <a:extLst>
            <a:ext uri="{FF2B5EF4-FFF2-40B4-BE49-F238E27FC236}">
              <a16:creationId xmlns="" xmlns:a16="http://schemas.microsoft.com/office/drawing/2014/main" id="{00000000-0008-0000-0300-0000C000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193" name="Рисунок 2">
          <a:extLst>
            <a:ext uri="{FF2B5EF4-FFF2-40B4-BE49-F238E27FC236}">
              <a16:creationId xmlns="" xmlns:a16="http://schemas.microsoft.com/office/drawing/2014/main" id="{00000000-0008-0000-0300-0000C100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194" name="Рисунок 2">
          <a:extLst>
            <a:ext uri="{FF2B5EF4-FFF2-40B4-BE49-F238E27FC236}">
              <a16:creationId xmlns="" xmlns:a16="http://schemas.microsoft.com/office/drawing/2014/main" id="{00000000-0008-0000-0300-0000C200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195" name="Рисунок 2">
          <a:extLst>
            <a:ext uri="{FF2B5EF4-FFF2-40B4-BE49-F238E27FC236}">
              <a16:creationId xmlns="" xmlns:a16="http://schemas.microsoft.com/office/drawing/2014/main" id="{00000000-0008-0000-0300-0000C300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196" name="Рисунок 2">
          <a:extLst>
            <a:ext uri="{FF2B5EF4-FFF2-40B4-BE49-F238E27FC236}">
              <a16:creationId xmlns="" xmlns:a16="http://schemas.microsoft.com/office/drawing/2014/main" id="{00000000-0008-0000-0300-0000C400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197" name="Рисунок 2">
          <a:extLst>
            <a:ext uri="{FF2B5EF4-FFF2-40B4-BE49-F238E27FC236}">
              <a16:creationId xmlns="" xmlns:a16="http://schemas.microsoft.com/office/drawing/2014/main" id="{00000000-0008-0000-0300-0000C500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198" name="Рисунок 2">
          <a:extLst>
            <a:ext uri="{FF2B5EF4-FFF2-40B4-BE49-F238E27FC236}">
              <a16:creationId xmlns="" xmlns:a16="http://schemas.microsoft.com/office/drawing/2014/main" id="{00000000-0008-0000-0300-0000C600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199" name="Рисунок 2">
          <a:extLst>
            <a:ext uri="{FF2B5EF4-FFF2-40B4-BE49-F238E27FC236}">
              <a16:creationId xmlns="" xmlns:a16="http://schemas.microsoft.com/office/drawing/2014/main" id="{00000000-0008-0000-0300-0000C700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200" name="Рисунок 2">
          <a:extLst>
            <a:ext uri="{FF2B5EF4-FFF2-40B4-BE49-F238E27FC236}">
              <a16:creationId xmlns="" xmlns:a16="http://schemas.microsoft.com/office/drawing/2014/main" id="{00000000-0008-0000-0300-0000C800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201" name="Рисунок 2">
          <a:extLst>
            <a:ext uri="{FF2B5EF4-FFF2-40B4-BE49-F238E27FC236}">
              <a16:creationId xmlns="" xmlns:a16="http://schemas.microsoft.com/office/drawing/2014/main" id="{00000000-0008-0000-0300-0000C900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202" name="Рисунок 2">
          <a:extLst>
            <a:ext uri="{FF2B5EF4-FFF2-40B4-BE49-F238E27FC236}">
              <a16:creationId xmlns="" xmlns:a16="http://schemas.microsoft.com/office/drawing/2014/main" id="{00000000-0008-0000-0300-0000CA00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203" name="Рисунок 2">
          <a:extLst>
            <a:ext uri="{FF2B5EF4-FFF2-40B4-BE49-F238E27FC236}">
              <a16:creationId xmlns="" xmlns:a16="http://schemas.microsoft.com/office/drawing/2014/main" id="{00000000-0008-0000-0300-0000CB00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204" name="Рисунок 2">
          <a:extLst>
            <a:ext uri="{FF2B5EF4-FFF2-40B4-BE49-F238E27FC236}">
              <a16:creationId xmlns="" xmlns:a16="http://schemas.microsoft.com/office/drawing/2014/main" id="{00000000-0008-0000-0300-0000CC00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205" name="Рисунок 2">
          <a:extLst>
            <a:ext uri="{FF2B5EF4-FFF2-40B4-BE49-F238E27FC236}">
              <a16:creationId xmlns="" xmlns:a16="http://schemas.microsoft.com/office/drawing/2014/main" id="{00000000-0008-0000-0300-0000CD00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206" name="Рисунок 2">
          <a:extLst>
            <a:ext uri="{FF2B5EF4-FFF2-40B4-BE49-F238E27FC236}">
              <a16:creationId xmlns="" xmlns:a16="http://schemas.microsoft.com/office/drawing/2014/main" id="{00000000-0008-0000-0300-0000CE00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207" name="Рисунок 2">
          <a:extLst>
            <a:ext uri="{FF2B5EF4-FFF2-40B4-BE49-F238E27FC236}">
              <a16:creationId xmlns="" xmlns:a16="http://schemas.microsoft.com/office/drawing/2014/main" id="{00000000-0008-0000-0300-0000CF00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208" name="Рисунок 2">
          <a:extLst>
            <a:ext uri="{FF2B5EF4-FFF2-40B4-BE49-F238E27FC236}">
              <a16:creationId xmlns="" xmlns:a16="http://schemas.microsoft.com/office/drawing/2014/main" id="{00000000-0008-0000-0300-0000D000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209" name="Рисунок 2">
          <a:extLst>
            <a:ext uri="{FF2B5EF4-FFF2-40B4-BE49-F238E27FC236}">
              <a16:creationId xmlns="" xmlns:a16="http://schemas.microsoft.com/office/drawing/2014/main" id="{00000000-0008-0000-0300-0000D100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210" name="Рисунок 2">
          <a:extLst>
            <a:ext uri="{FF2B5EF4-FFF2-40B4-BE49-F238E27FC236}">
              <a16:creationId xmlns="" xmlns:a16="http://schemas.microsoft.com/office/drawing/2014/main" id="{00000000-0008-0000-0300-0000D200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211" name="Рисунок 2">
          <a:extLst>
            <a:ext uri="{FF2B5EF4-FFF2-40B4-BE49-F238E27FC236}">
              <a16:creationId xmlns="" xmlns:a16="http://schemas.microsoft.com/office/drawing/2014/main" id="{00000000-0008-0000-0300-0000D300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212" name="Рисунок 2">
          <a:extLst>
            <a:ext uri="{FF2B5EF4-FFF2-40B4-BE49-F238E27FC236}">
              <a16:creationId xmlns="" xmlns:a16="http://schemas.microsoft.com/office/drawing/2014/main" id="{00000000-0008-0000-0300-0000D400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213" name="Рисунок 2">
          <a:extLst>
            <a:ext uri="{FF2B5EF4-FFF2-40B4-BE49-F238E27FC236}">
              <a16:creationId xmlns="" xmlns:a16="http://schemas.microsoft.com/office/drawing/2014/main" id="{00000000-0008-0000-0300-0000D500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214" name="Рисунок 2">
          <a:extLst>
            <a:ext uri="{FF2B5EF4-FFF2-40B4-BE49-F238E27FC236}">
              <a16:creationId xmlns="" xmlns:a16="http://schemas.microsoft.com/office/drawing/2014/main" id="{00000000-0008-0000-0300-0000D600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215" name="Рисунок 2">
          <a:extLst>
            <a:ext uri="{FF2B5EF4-FFF2-40B4-BE49-F238E27FC236}">
              <a16:creationId xmlns="" xmlns:a16="http://schemas.microsoft.com/office/drawing/2014/main" id="{00000000-0008-0000-0300-0000D700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216" name="Рисунок 2">
          <a:extLst>
            <a:ext uri="{FF2B5EF4-FFF2-40B4-BE49-F238E27FC236}">
              <a16:creationId xmlns="" xmlns:a16="http://schemas.microsoft.com/office/drawing/2014/main" id="{00000000-0008-0000-0300-0000D800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217" name="Рисунок 2">
          <a:extLst>
            <a:ext uri="{FF2B5EF4-FFF2-40B4-BE49-F238E27FC236}">
              <a16:creationId xmlns="" xmlns:a16="http://schemas.microsoft.com/office/drawing/2014/main" id="{00000000-0008-0000-0300-0000D900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218" name="Рисунок 2">
          <a:extLst>
            <a:ext uri="{FF2B5EF4-FFF2-40B4-BE49-F238E27FC236}">
              <a16:creationId xmlns="" xmlns:a16="http://schemas.microsoft.com/office/drawing/2014/main" id="{00000000-0008-0000-0300-0000DA00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219" name="Рисунок 2">
          <a:extLst>
            <a:ext uri="{FF2B5EF4-FFF2-40B4-BE49-F238E27FC236}">
              <a16:creationId xmlns="" xmlns:a16="http://schemas.microsoft.com/office/drawing/2014/main" id="{00000000-0008-0000-0300-0000DB00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220" name="Рисунок 2">
          <a:extLst>
            <a:ext uri="{FF2B5EF4-FFF2-40B4-BE49-F238E27FC236}">
              <a16:creationId xmlns="" xmlns:a16="http://schemas.microsoft.com/office/drawing/2014/main" id="{00000000-0008-0000-0300-0000DC00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221" name="Рисунок 2">
          <a:extLst>
            <a:ext uri="{FF2B5EF4-FFF2-40B4-BE49-F238E27FC236}">
              <a16:creationId xmlns="" xmlns:a16="http://schemas.microsoft.com/office/drawing/2014/main" id="{00000000-0008-0000-0300-0000DD00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222" name="Рисунок 2">
          <a:extLst>
            <a:ext uri="{FF2B5EF4-FFF2-40B4-BE49-F238E27FC236}">
              <a16:creationId xmlns="" xmlns:a16="http://schemas.microsoft.com/office/drawing/2014/main" id="{00000000-0008-0000-0300-0000DE00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223" name="Рисунок 2">
          <a:extLst>
            <a:ext uri="{FF2B5EF4-FFF2-40B4-BE49-F238E27FC236}">
              <a16:creationId xmlns="" xmlns:a16="http://schemas.microsoft.com/office/drawing/2014/main" id="{00000000-0008-0000-0300-0000DF00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224" name="Рисунок 2">
          <a:extLst>
            <a:ext uri="{FF2B5EF4-FFF2-40B4-BE49-F238E27FC236}">
              <a16:creationId xmlns="" xmlns:a16="http://schemas.microsoft.com/office/drawing/2014/main" id="{00000000-0008-0000-0300-0000E000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225" name="Рисунок 2">
          <a:extLst>
            <a:ext uri="{FF2B5EF4-FFF2-40B4-BE49-F238E27FC236}">
              <a16:creationId xmlns="" xmlns:a16="http://schemas.microsoft.com/office/drawing/2014/main" id="{00000000-0008-0000-0300-0000E100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226" name="Рисунок 2">
          <a:extLst>
            <a:ext uri="{FF2B5EF4-FFF2-40B4-BE49-F238E27FC236}">
              <a16:creationId xmlns="" xmlns:a16="http://schemas.microsoft.com/office/drawing/2014/main" id="{00000000-0008-0000-0300-0000E200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227" name="Рисунок 2">
          <a:extLst>
            <a:ext uri="{FF2B5EF4-FFF2-40B4-BE49-F238E27FC236}">
              <a16:creationId xmlns="" xmlns:a16="http://schemas.microsoft.com/office/drawing/2014/main" id="{00000000-0008-0000-0300-0000E300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228" name="Рисунок 2">
          <a:extLst>
            <a:ext uri="{FF2B5EF4-FFF2-40B4-BE49-F238E27FC236}">
              <a16:creationId xmlns="" xmlns:a16="http://schemas.microsoft.com/office/drawing/2014/main" id="{00000000-0008-0000-0300-0000E400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229" name="Рисунок 2">
          <a:extLst>
            <a:ext uri="{FF2B5EF4-FFF2-40B4-BE49-F238E27FC236}">
              <a16:creationId xmlns="" xmlns:a16="http://schemas.microsoft.com/office/drawing/2014/main" id="{00000000-0008-0000-0300-0000E500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230" name="Рисунок 2">
          <a:extLst>
            <a:ext uri="{FF2B5EF4-FFF2-40B4-BE49-F238E27FC236}">
              <a16:creationId xmlns="" xmlns:a16="http://schemas.microsoft.com/office/drawing/2014/main" id="{00000000-0008-0000-0300-0000E600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231" name="Рисунок 2">
          <a:extLst>
            <a:ext uri="{FF2B5EF4-FFF2-40B4-BE49-F238E27FC236}">
              <a16:creationId xmlns="" xmlns:a16="http://schemas.microsoft.com/office/drawing/2014/main" id="{00000000-0008-0000-0300-0000E700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232" name="Рисунок 2">
          <a:extLst>
            <a:ext uri="{FF2B5EF4-FFF2-40B4-BE49-F238E27FC236}">
              <a16:creationId xmlns="" xmlns:a16="http://schemas.microsoft.com/office/drawing/2014/main" id="{00000000-0008-0000-0300-0000E800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233" name="Рисунок 2">
          <a:extLst>
            <a:ext uri="{FF2B5EF4-FFF2-40B4-BE49-F238E27FC236}">
              <a16:creationId xmlns="" xmlns:a16="http://schemas.microsoft.com/office/drawing/2014/main" id="{00000000-0008-0000-0300-0000E900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234" name="Рисунок 2">
          <a:extLst>
            <a:ext uri="{FF2B5EF4-FFF2-40B4-BE49-F238E27FC236}">
              <a16:creationId xmlns="" xmlns:a16="http://schemas.microsoft.com/office/drawing/2014/main" id="{00000000-0008-0000-0300-0000EA00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235" name="Рисунок 2">
          <a:extLst>
            <a:ext uri="{FF2B5EF4-FFF2-40B4-BE49-F238E27FC236}">
              <a16:creationId xmlns="" xmlns:a16="http://schemas.microsoft.com/office/drawing/2014/main" id="{00000000-0008-0000-0300-0000EB00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236" name="Рисунок 2">
          <a:extLst>
            <a:ext uri="{FF2B5EF4-FFF2-40B4-BE49-F238E27FC236}">
              <a16:creationId xmlns="" xmlns:a16="http://schemas.microsoft.com/office/drawing/2014/main" id="{00000000-0008-0000-0300-0000EC00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237" name="Рисунок 2">
          <a:extLst>
            <a:ext uri="{FF2B5EF4-FFF2-40B4-BE49-F238E27FC236}">
              <a16:creationId xmlns="" xmlns:a16="http://schemas.microsoft.com/office/drawing/2014/main" id="{00000000-0008-0000-0300-0000ED00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238" name="Рисунок 2">
          <a:extLst>
            <a:ext uri="{FF2B5EF4-FFF2-40B4-BE49-F238E27FC236}">
              <a16:creationId xmlns="" xmlns:a16="http://schemas.microsoft.com/office/drawing/2014/main" id="{00000000-0008-0000-0300-0000EE00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239" name="Рисунок 2">
          <a:extLst>
            <a:ext uri="{FF2B5EF4-FFF2-40B4-BE49-F238E27FC236}">
              <a16:creationId xmlns="" xmlns:a16="http://schemas.microsoft.com/office/drawing/2014/main" id="{00000000-0008-0000-0300-0000EF00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240" name="Рисунок 2">
          <a:extLst>
            <a:ext uri="{FF2B5EF4-FFF2-40B4-BE49-F238E27FC236}">
              <a16:creationId xmlns="" xmlns:a16="http://schemas.microsoft.com/office/drawing/2014/main" id="{00000000-0008-0000-0300-0000F000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241" name="Рисунок 2">
          <a:extLst>
            <a:ext uri="{FF2B5EF4-FFF2-40B4-BE49-F238E27FC236}">
              <a16:creationId xmlns="" xmlns:a16="http://schemas.microsoft.com/office/drawing/2014/main" id="{00000000-0008-0000-0300-0000F100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242" name="Рисунок 2">
          <a:extLst>
            <a:ext uri="{FF2B5EF4-FFF2-40B4-BE49-F238E27FC236}">
              <a16:creationId xmlns="" xmlns:a16="http://schemas.microsoft.com/office/drawing/2014/main" id="{00000000-0008-0000-0300-0000F200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244" name="Рисунок 2">
          <a:extLst>
            <a:ext uri="{FF2B5EF4-FFF2-40B4-BE49-F238E27FC236}">
              <a16:creationId xmlns="" xmlns:a16="http://schemas.microsoft.com/office/drawing/2014/main" id="{00000000-0008-0000-0300-0000F400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245" name="Рисунок 2">
          <a:extLst>
            <a:ext uri="{FF2B5EF4-FFF2-40B4-BE49-F238E27FC236}">
              <a16:creationId xmlns="" xmlns:a16="http://schemas.microsoft.com/office/drawing/2014/main" id="{00000000-0008-0000-0300-0000F500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246" name="Рисунок 2">
          <a:extLst>
            <a:ext uri="{FF2B5EF4-FFF2-40B4-BE49-F238E27FC236}">
              <a16:creationId xmlns="" xmlns:a16="http://schemas.microsoft.com/office/drawing/2014/main" id="{00000000-0008-0000-0300-0000F600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247" name="Рисунок 2">
          <a:extLst>
            <a:ext uri="{FF2B5EF4-FFF2-40B4-BE49-F238E27FC236}">
              <a16:creationId xmlns="" xmlns:a16="http://schemas.microsoft.com/office/drawing/2014/main" id="{00000000-0008-0000-0300-0000F700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248" name="Рисунок 2">
          <a:extLst>
            <a:ext uri="{FF2B5EF4-FFF2-40B4-BE49-F238E27FC236}">
              <a16:creationId xmlns="" xmlns:a16="http://schemas.microsoft.com/office/drawing/2014/main" id="{00000000-0008-0000-0300-0000F800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249" name="Рисунок 2">
          <a:extLst>
            <a:ext uri="{FF2B5EF4-FFF2-40B4-BE49-F238E27FC236}">
              <a16:creationId xmlns="" xmlns:a16="http://schemas.microsoft.com/office/drawing/2014/main" id="{00000000-0008-0000-0300-0000F900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250" name="Рисунок 2">
          <a:extLst>
            <a:ext uri="{FF2B5EF4-FFF2-40B4-BE49-F238E27FC236}">
              <a16:creationId xmlns="" xmlns:a16="http://schemas.microsoft.com/office/drawing/2014/main" id="{00000000-0008-0000-0300-0000FA00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251" name="Рисунок 2">
          <a:extLst>
            <a:ext uri="{FF2B5EF4-FFF2-40B4-BE49-F238E27FC236}">
              <a16:creationId xmlns="" xmlns:a16="http://schemas.microsoft.com/office/drawing/2014/main" id="{00000000-0008-0000-0300-0000FB00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252" name="Рисунок 2">
          <a:extLst>
            <a:ext uri="{FF2B5EF4-FFF2-40B4-BE49-F238E27FC236}">
              <a16:creationId xmlns="" xmlns:a16="http://schemas.microsoft.com/office/drawing/2014/main" id="{00000000-0008-0000-0300-0000FC00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253" name="Рисунок 2">
          <a:extLst>
            <a:ext uri="{FF2B5EF4-FFF2-40B4-BE49-F238E27FC236}">
              <a16:creationId xmlns="" xmlns:a16="http://schemas.microsoft.com/office/drawing/2014/main" id="{00000000-0008-0000-0300-0000FD00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254" name="Рисунок 2">
          <a:extLst>
            <a:ext uri="{FF2B5EF4-FFF2-40B4-BE49-F238E27FC236}">
              <a16:creationId xmlns="" xmlns:a16="http://schemas.microsoft.com/office/drawing/2014/main" id="{00000000-0008-0000-0300-0000FE00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255" name="Рисунок 2">
          <a:extLst>
            <a:ext uri="{FF2B5EF4-FFF2-40B4-BE49-F238E27FC236}">
              <a16:creationId xmlns="" xmlns:a16="http://schemas.microsoft.com/office/drawing/2014/main" id="{00000000-0008-0000-0300-0000FF00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256" name="Рисунок 2">
          <a:extLst>
            <a:ext uri="{FF2B5EF4-FFF2-40B4-BE49-F238E27FC236}">
              <a16:creationId xmlns="" xmlns:a16="http://schemas.microsoft.com/office/drawing/2014/main" id="{00000000-0008-0000-0300-00000001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257" name="Рисунок 2">
          <a:extLst>
            <a:ext uri="{FF2B5EF4-FFF2-40B4-BE49-F238E27FC236}">
              <a16:creationId xmlns="" xmlns:a16="http://schemas.microsoft.com/office/drawing/2014/main" id="{00000000-0008-0000-0300-00000101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258" name="Рисунок 2">
          <a:extLst>
            <a:ext uri="{FF2B5EF4-FFF2-40B4-BE49-F238E27FC236}">
              <a16:creationId xmlns="" xmlns:a16="http://schemas.microsoft.com/office/drawing/2014/main" id="{00000000-0008-0000-0300-00000201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259" name="Рисунок 2">
          <a:extLst>
            <a:ext uri="{FF2B5EF4-FFF2-40B4-BE49-F238E27FC236}">
              <a16:creationId xmlns="" xmlns:a16="http://schemas.microsoft.com/office/drawing/2014/main" id="{00000000-0008-0000-0300-00000301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260" name="Рисунок 2">
          <a:extLst>
            <a:ext uri="{FF2B5EF4-FFF2-40B4-BE49-F238E27FC236}">
              <a16:creationId xmlns="" xmlns:a16="http://schemas.microsoft.com/office/drawing/2014/main" id="{00000000-0008-0000-0300-00000401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261" name="Рисунок 2">
          <a:extLst>
            <a:ext uri="{FF2B5EF4-FFF2-40B4-BE49-F238E27FC236}">
              <a16:creationId xmlns="" xmlns:a16="http://schemas.microsoft.com/office/drawing/2014/main" id="{00000000-0008-0000-0300-00000501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262" name="Рисунок 2">
          <a:extLst>
            <a:ext uri="{FF2B5EF4-FFF2-40B4-BE49-F238E27FC236}">
              <a16:creationId xmlns="" xmlns:a16="http://schemas.microsoft.com/office/drawing/2014/main" id="{00000000-0008-0000-0300-00000601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263" name="Рисунок 2">
          <a:extLst>
            <a:ext uri="{FF2B5EF4-FFF2-40B4-BE49-F238E27FC236}">
              <a16:creationId xmlns="" xmlns:a16="http://schemas.microsoft.com/office/drawing/2014/main" id="{00000000-0008-0000-0300-00000701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264" name="Рисунок 2">
          <a:extLst>
            <a:ext uri="{FF2B5EF4-FFF2-40B4-BE49-F238E27FC236}">
              <a16:creationId xmlns="" xmlns:a16="http://schemas.microsoft.com/office/drawing/2014/main" id="{00000000-0008-0000-0300-00000801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265" name="Рисунок 2">
          <a:extLst>
            <a:ext uri="{FF2B5EF4-FFF2-40B4-BE49-F238E27FC236}">
              <a16:creationId xmlns="" xmlns:a16="http://schemas.microsoft.com/office/drawing/2014/main" id="{00000000-0008-0000-0300-00000901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266" name="Рисунок 2">
          <a:extLst>
            <a:ext uri="{FF2B5EF4-FFF2-40B4-BE49-F238E27FC236}">
              <a16:creationId xmlns="" xmlns:a16="http://schemas.microsoft.com/office/drawing/2014/main" id="{00000000-0008-0000-0300-00000A01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267" name="Рисунок 2">
          <a:extLst>
            <a:ext uri="{FF2B5EF4-FFF2-40B4-BE49-F238E27FC236}">
              <a16:creationId xmlns="" xmlns:a16="http://schemas.microsoft.com/office/drawing/2014/main" id="{00000000-0008-0000-0300-00000B01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268" name="Рисунок 2">
          <a:extLst>
            <a:ext uri="{FF2B5EF4-FFF2-40B4-BE49-F238E27FC236}">
              <a16:creationId xmlns="" xmlns:a16="http://schemas.microsoft.com/office/drawing/2014/main" id="{00000000-0008-0000-0300-00000C01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269" name="Рисунок 2">
          <a:extLst>
            <a:ext uri="{FF2B5EF4-FFF2-40B4-BE49-F238E27FC236}">
              <a16:creationId xmlns="" xmlns:a16="http://schemas.microsoft.com/office/drawing/2014/main" id="{00000000-0008-0000-0300-00000D01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270" name="Рисунок 2">
          <a:extLst>
            <a:ext uri="{FF2B5EF4-FFF2-40B4-BE49-F238E27FC236}">
              <a16:creationId xmlns="" xmlns:a16="http://schemas.microsoft.com/office/drawing/2014/main" id="{00000000-0008-0000-0300-00000E01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271" name="Рисунок 2">
          <a:extLst>
            <a:ext uri="{FF2B5EF4-FFF2-40B4-BE49-F238E27FC236}">
              <a16:creationId xmlns="" xmlns:a16="http://schemas.microsoft.com/office/drawing/2014/main" id="{00000000-0008-0000-0300-00000F01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272" name="Рисунок 2">
          <a:extLst>
            <a:ext uri="{FF2B5EF4-FFF2-40B4-BE49-F238E27FC236}">
              <a16:creationId xmlns="" xmlns:a16="http://schemas.microsoft.com/office/drawing/2014/main" id="{00000000-0008-0000-0300-00001001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273" name="Рисунок 2">
          <a:extLst>
            <a:ext uri="{FF2B5EF4-FFF2-40B4-BE49-F238E27FC236}">
              <a16:creationId xmlns="" xmlns:a16="http://schemas.microsoft.com/office/drawing/2014/main" id="{00000000-0008-0000-0300-00001101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274" name="Рисунок 2">
          <a:extLst>
            <a:ext uri="{FF2B5EF4-FFF2-40B4-BE49-F238E27FC236}">
              <a16:creationId xmlns="" xmlns:a16="http://schemas.microsoft.com/office/drawing/2014/main" id="{00000000-0008-0000-0300-00001201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275" name="Рисунок 2">
          <a:extLst>
            <a:ext uri="{FF2B5EF4-FFF2-40B4-BE49-F238E27FC236}">
              <a16:creationId xmlns="" xmlns:a16="http://schemas.microsoft.com/office/drawing/2014/main" id="{00000000-0008-0000-0300-00001301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276" name="Рисунок 2">
          <a:extLst>
            <a:ext uri="{FF2B5EF4-FFF2-40B4-BE49-F238E27FC236}">
              <a16:creationId xmlns="" xmlns:a16="http://schemas.microsoft.com/office/drawing/2014/main" id="{00000000-0008-0000-0300-00001401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277" name="Рисунок 2">
          <a:extLst>
            <a:ext uri="{FF2B5EF4-FFF2-40B4-BE49-F238E27FC236}">
              <a16:creationId xmlns="" xmlns:a16="http://schemas.microsoft.com/office/drawing/2014/main" id="{00000000-0008-0000-0300-00001501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278" name="Рисунок 2">
          <a:extLst>
            <a:ext uri="{FF2B5EF4-FFF2-40B4-BE49-F238E27FC236}">
              <a16:creationId xmlns="" xmlns:a16="http://schemas.microsoft.com/office/drawing/2014/main" id="{00000000-0008-0000-0300-00001601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279" name="Рисунок 2">
          <a:extLst>
            <a:ext uri="{FF2B5EF4-FFF2-40B4-BE49-F238E27FC236}">
              <a16:creationId xmlns="" xmlns:a16="http://schemas.microsoft.com/office/drawing/2014/main" id="{00000000-0008-0000-0300-00001701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280" name="Рисунок 2">
          <a:extLst>
            <a:ext uri="{FF2B5EF4-FFF2-40B4-BE49-F238E27FC236}">
              <a16:creationId xmlns="" xmlns:a16="http://schemas.microsoft.com/office/drawing/2014/main" id="{00000000-0008-0000-0300-00001801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281" name="Рисунок 2">
          <a:extLst>
            <a:ext uri="{FF2B5EF4-FFF2-40B4-BE49-F238E27FC236}">
              <a16:creationId xmlns="" xmlns:a16="http://schemas.microsoft.com/office/drawing/2014/main" id="{00000000-0008-0000-0300-00001901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282" name="Рисунок 2">
          <a:extLst>
            <a:ext uri="{FF2B5EF4-FFF2-40B4-BE49-F238E27FC236}">
              <a16:creationId xmlns="" xmlns:a16="http://schemas.microsoft.com/office/drawing/2014/main" id="{00000000-0008-0000-0300-00001A01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283" name="Рисунок 2">
          <a:extLst>
            <a:ext uri="{FF2B5EF4-FFF2-40B4-BE49-F238E27FC236}">
              <a16:creationId xmlns="" xmlns:a16="http://schemas.microsoft.com/office/drawing/2014/main" id="{00000000-0008-0000-0300-00001B01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284" name="Рисунок 2">
          <a:extLst>
            <a:ext uri="{FF2B5EF4-FFF2-40B4-BE49-F238E27FC236}">
              <a16:creationId xmlns="" xmlns:a16="http://schemas.microsoft.com/office/drawing/2014/main" id="{00000000-0008-0000-0300-00001C01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285" name="Рисунок 2">
          <a:extLst>
            <a:ext uri="{FF2B5EF4-FFF2-40B4-BE49-F238E27FC236}">
              <a16:creationId xmlns="" xmlns:a16="http://schemas.microsoft.com/office/drawing/2014/main" id="{00000000-0008-0000-0300-00001D01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286" name="Рисунок 2">
          <a:extLst>
            <a:ext uri="{FF2B5EF4-FFF2-40B4-BE49-F238E27FC236}">
              <a16:creationId xmlns="" xmlns:a16="http://schemas.microsoft.com/office/drawing/2014/main" id="{00000000-0008-0000-0300-00001E01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287" name="Рисунок 2">
          <a:extLst>
            <a:ext uri="{FF2B5EF4-FFF2-40B4-BE49-F238E27FC236}">
              <a16:creationId xmlns="" xmlns:a16="http://schemas.microsoft.com/office/drawing/2014/main" id="{00000000-0008-0000-0300-00001F01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288" name="Рисунок 2">
          <a:extLst>
            <a:ext uri="{FF2B5EF4-FFF2-40B4-BE49-F238E27FC236}">
              <a16:creationId xmlns="" xmlns:a16="http://schemas.microsoft.com/office/drawing/2014/main" id="{00000000-0008-0000-0300-00002001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289" name="Рисунок 2">
          <a:extLst>
            <a:ext uri="{FF2B5EF4-FFF2-40B4-BE49-F238E27FC236}">
              <a16:creationId xmlns="" xmlns:a16="http://schemas.microsoft.com/office/drawing/2014/main" id="{00000000-0008-0000-0300-00002101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290" name="Рисунок 2">
          <a:extLst>
            <a:ext uri="{FF2B5EF4-FFF2-40B4-BE49-F238E27FC236}">
              <a16:creationId xmlns="" xmlns:a16="http://schemas.microsoft.com/office/drawing/2014/main" id="{00000000-0008-0000-0300-00002201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291" name="Рисунок 2">
          <a:extLst>
            <a:ext uri="{FF2B5EF4-FFF2-40B4-BE49-F238E27FC236}">
              <a16:creationId xmlns="" xmlns:a16="http://schemas.microsoft.com/office/drawing/2014/main" id="{00000000-0008-0000-0300-00002301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292" name="Рисунок 2">
          <a:extLst>
            <a:ext uri="{FF2B5EF4-FFF2-40B4-BE49-F238E27FC236}">
              <a16:creationId xmlns="" xmlns:a16="http://schemas.microsoft.com/office/drawing/2014/main" id="{00000000-0008-0000-0300-00002401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293" name="Рисунок 2">
          <a:extLst>
            <a:ext uri="{FF2B5EF4-FFF2-40B4-BE49-F238E27FC236}">
              <a16:creationId xmlns="" xmlns:a16="http://schemas.microsoft.com/office/drawing/2014/main" id="{00000000-0008-0000-0300-00002501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294" name="Рисунок 2">
          <a:extLst>
            <a:ext uri="{FF2B5EF4-FFF2-40B4-BE49-F238E27FC236}">
              <a16:creationId xmlns="" xmlns:a16="http://schemas.microsoft.com/office/drawing/2014/main" id="{00000000-0008-0000-0300-00002601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295" name="Рисунок 2">
          <a:extLst>
            <a:ext uri="{FF2B5EF4-FFF2-40B4-BE49-F238E27FC236}">
              <a16:creationId xmlns="" xmlns:a16="http://schemas.microsoft.com/office/drawing/2014/main" id="{00000000-0008-0000-0300-00002701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296" name="Рисунок 2">
          <a:extLst>
            <a:ext uri="{FF2B5EF4-FFF2-40B4-BE49-F238E27FC236}">
              <a16:creationId xmlns="" xmlns:a16="http://schemas.microsoft.com/office/drawing/2014/main" id="{00000000-0008-0000-0300-00002801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297" name="Рисунок 2">
          <a:extLst>
            <a:ext uri="{FF2B5EF4-FFF2-40B4-BE49-F238E27FC236}">
              <a16:creationId xmlns="" xmlns:a16="http://schemas.microsoft.com/office/drawing/2014/main" id="{00000000-0008-0000-0300-00002901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298" name="Рисунок 2">
          <a:extLst>
            <a:ext uri="{FF2B5EF4-FFF2-40B4-BE49-F238E27FC236}">
              <a16:creationId xmlns="" xmlns:a16="http://schemas.microsoft.com/office/drawing/2014/main" id="{00000000-0008-0000-0300-00002A01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299" name="Рисунок 2">
          <a:extLst>
            <a:ext uri="{FF2B5EF4-FFF2-40B4-BE49-F238E27FC236}">
              <a16:creationId xmlns="" xmlns:a16="http://schemas.microsoft.com/office/drawing/2014/main" id="{00000000-0008-0000-0300-00002B01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300" name="Рисунок 2">
          <a:extLst>
            <a:ext uri="{FF2B5EF4-FFF2-40B4-BE49-F238E27FC236}">
              <a16:creationId xmlns="" xmlns:a16="http://schemas.microsoft.com/office/drawing/2014/main" id="{00000000-0008-0000-0300-00002C01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301" name="Рисунок 2">
          <a:extLst>
            <a:ext uri="{FF2B5EF4-FFF2-40B4-BE49-F238E27FC236}">
              <a16:creationId xmlns="" xmlns:a16="http://schemas.microsoft.com/office/drawing/2014/main" id="{00000000-0008-0000-0300-00002D01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302" name="Рисунок 2">
          <a:extLst>
            <a:ext uri="{FF2B5EF4-FFF2-40B4-BE49-F238E27FC236}">
              <a16:creationId xmlns="" xmlns:a16="http://schemas.microsoft.com/office/drawing/2014/main" id="{00000000-0008-0000-0300-00002E01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303" name="Рисунок 2">
          <a:extLst>
            <a:ext uri="{FF2B5EF4-FFF2-40B4-BE49-F238E27FC236}">
              <a16:creationId xmlns="" xmlns:a16="http://schemas.microsoft.com/office/drawing/2014/main" id="{00000000-0008-0000-0300-00002F01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304" name="Рисунок 2">
          <a:extLst>
            <a:ext uri="{FF2B5EF4-FFF2-40B4-BE49-F238E27FC236}">
              <a16:creationId xmlns="" xmlns:a16="http://schemas.microsoft.com/office/drawing/2014/main" id="{00000000-0008-0000-0300-00003001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305" name="Рисунок 2">
          <a:extLst>
            <a:ext uri="{FF2B5EF4-FFF2-40B4-BE49-F238E27FC236}">
              <a16:creationId xmlns="" xmlns:a16="http://schemas.microsoft.com/office/drawing/2014/main" id="{00000000-0008-0000-0300-00003101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306" name="Рисунок 2">
          <a:extLst>
            <a:ext uri="{FF2B5EF4-FFF2-40B4-BE49-F238E27FC236}">
              <a16:creationId xmlns="" xmlns:a16="http://schemas.microsoft.com/office/drawing/2014/main" id="{00000000-0008-0000-0300-00003201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307" name="Рисунок 2">
          <a:extLst>
            <a:ext uri="{FF2B5EF4-FFF2-40B4-BE49-F238E27FC236}">
              <a16:creationId xmlns="" xmlns:a16="http://schemas.microsoft.com/office/drawing/2014/main" id="{00000000-0008-0000-0300-00003301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308" name="Рисунок 2">
          <a:extLst>
            <a:ext uri="{FF2B5EF4-FFF2-40B4-BE49-F238E27FC236}">
              <a16:creationId xmlns="" xmlns:a16="http://schemas.microsoft.com/office/drawing/2014/main" id="{00000000-0008-0000-0300-00003401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309" name="Рисунок 2">
          <a:extLst>
            <a:ext uri="{FF2B5EF4-FFF2-40B4-BE49-F238E27FC236}">
              <a16:creationId xmlns="" xmlns:a16="http://schemas.microsoft.com/office/drawing/2014/main" id="{00000000-0008-0000-0300-00003501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310" name="Рисунок 2">
          <a:extLst>
            <a:ext uri="{FF2B5EF4-FFF2-40B4-BE49-F238E27FC236}">
              <a16:creationId xmlns="" xmlns:a16="http://schemas.microsoft.com/office/drawing/2014/main" id="{00000000-0008-0000-0300-00003601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311" name="Рисунок 2">
          <a:extLst>
            <a:ext uri="{FF2B5EF4-FFF2-40B4-BE49-F238E27FC236}">
              <a16:creationId xmlns="" xmlns:a16="http://schemas.microsoft.com/office/drawing/2014/main" id="{00000000-0008-0000-0300-00003701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312" name="Рисунок 2">
          <a:extLst>
            <a:ext uri="{FF2B5EF4-FFF2-40B4-BE49-F238E27FC236}">
              <a16:creationId xmlns="" xmlns:a16="http://schemas.microsoft.com/office/drawing/2014/main" id="{00000000-0008-0000-0300-00003801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313" name="Рисунок 2">
          <a:extLst>
            <a:ext uri="{FF2B5EF4-FFF2-40B4-BE49-F238E27FC236}">
              <a16:creationId xmlns="" xmlns:a16="http://schemas.microsoft.com/office/drawing/2014/main" id="{00000000-0008-0000-0300-00003901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314" name="Рисунок 2">
          <a:extLst>
            <a:ext uri="{FF2B5EF4-FFF2-40B4-BE49-F238E27FC236}">
              <a16:creationId xmlns="" xmlns:a16="http://schemas.microsoft.com/office/drawing/2014/main" id="{00000000-0008-0000-0300-00003A01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315" name="Рисунок 2">
          <a:extLst>
            <a:ext uri="{FF2B5EF4-FFF2-40B4-BE49-F238E27FC236}">
              <a16:creationId xmlns="" xmlns:a16="http://schemas.microsoft.com/office/drawing/2014/main" id="{00000000-0008-0000-0300-00003B01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316" name="Рисунок 2">
          <a:extLst>
            <a:ext uri="{FF2B5EF4-FFF2-40B4-BE49-F238E27FC236}">
              <a16:creationId xmlns="" xmlns:a16="http://schemas.microsoft.com/office/drawing/2014/main" id="{00000000-0008-0000-0300-00003C01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317" name="Рисунок 2">
          <a:extLst>
            <a:ext uri="{FF2B5EF4-FFF2-40B4-BE49-F238E27FC236}">
              <a16:creationId xmlns="" xmlns:a16="http://schemas.microsoft.com/office/drawing/2014/main" id="{00000000-0008-0000-0300-00003D01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318" name="Рисунок 2">
          <a:extLst>
            <a:ext uri="{FF2B5EF4-FFF2-40B4-BE49-F238E27FC236}">
              <a16:creationId xmlns="" xmlns:a16="http://schemas.microsoft.com/office/drawing/2014/main" id="{00000000-0008-0000-0300-00003E01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319" name="Рисунок 2">
          <a:extLst>
            <a:ext uri="{FF2B5EF4-FFF2-40B4-BE49-F238E27FC236}">
              <a16:creationId xmlns="" xmlns:a16="http://schemas.microsoft.com/office/drawing/2014/main" id="{00000000-0008-0000-0300-00003F01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320" name="Рисунок 2">
          <a:extLst>
            <a:ext uri="{FF2B5EF4-FFF2-40B4-BE49-F238E27FC236}">
              <a16:creationId xmlns="" xmlns:a16="http://schemas.microsoft.com/office/drawing/2014/main" id="{00000000-0008-0000-0300-00004001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321" name="Рисунок 2">
          <a:extLst>
            <a:ext uri="{FF2B5EF4-FFF2-40B4-BE49-F238E27FC236}">
              <a16:creationId xmlns="" xmlns:a16="http://schemas.microsoft.com/office/drawing/2014/main" id="{00000000-0008-0000-0300-00004101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0</xdr:row>
      <xdr:rowOff>180975</xdr:rowOff>
    </xdr:from>
    <xdr:to>
      <xdr:col>1</xdr:col>
      <xdr:colOff>238125</xdr:colOff>
      <xdr:row>1</xdr:row>
      <xdr:rowOff>66675</xdr:rowOff>
    </xdr:to>
    <xdr:sp macro="" textlink="">
      <xdr:nvSpPr>
        <xdr:cNvPr id="322" name="Рисунок 2">
          <a:extLst>
            <a:ext uri="{FF2B5EF4-FFF2-40B4-BE49-F238E27FC236}">
              <a16:creationId xmlns="" xmlns:a16="http://schemas.microsoft.com/office/drawing/2014/main" id="{00000000-0008-0000-0300-000042010000}"/>
            </a:ext>
          </a:extLst>
        </xdr:cNvPr>
        <xdr:cNvSpPr>
          <a:spLocks noChangeArrowheads="1"/>
        </xdr:cNvSpPr>
      </xdr:nvSpPr>
      <xdr:spPr bwMode="auto">
        <a:xfrm>
          <a:off x="752475" y="18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104721</xdr:colOff>
      <xdr:row>5</xdr:row>
      <xdr:rowOff>171450</xdr:rowOff>
    </xdr:from>
    <xdr:to>
      <xdr:col>12</xdr:col>
      <xdr:colOff>600021</xdr:colOff>
      <xdr:row>24</xdr:row>
      <xdr:rowOff>161925</xdr:rowOff>
    </xdr:to>
    <xdr:sp macro="" textlink="">
      <xdr:nvSpPr>
        <xdr:cNvPr id="323" name="TextBox 98">
          <a:extLst>
            <a:ext uri="{FF2B5EF4-FFF2-40B4-BE49-F238E27FC236}">
              <a16:creationId xmlns="" xmlns:a16="http://schemas.microsoft.com/office/drawing/2014/main" id="{00000000-0008-0000-0300-000043010000}"/>
            </a:ext>
          </a:extLst>
        </xdr:cNvPr>
        <xdr:cNvSpPr txBox="1">
          <a:spLocks noChangeArrowheads="1"/>
        </xdr:cNvSpPr>
      </xdr:nvSpPr>
      <xdr:spPr bwMode="auto">
        <a:xfrm>
          <a:off x="714321" y="1123950"/>
          <a:ext cx="7200900" cy="3609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prstDash val="solid"/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ru-RU" sz="18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PERFORM THE FOLLOWING STEPS TO PERFORM DECRYPTION</a:t>
          </a:r>
        </a:p>
        <a:p>
          <a:pPr algn="l" rtl="0">
            <a:defRPr sz="1000"/>
          </a:pPr>
          <a:r>
            <a:rPr lang="ru-RU" sz="18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</a:t>
          </a:r>
        </a:p>
        <a:p>
          <a:pPr algn="l" rtl="0">
            <a:defRPr sz="1000"/>
          </a:pPr>
          <a:r>
            <a:rPr lang="ru-RU" sz="18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</a:t>
          </a:r>
          <a:r>
            <a:rPr lang="ru-RU" sz="1400" b="0" i="0" u="none" strike="noStrike" baseline="0">
              <a:solidFill>
                <a:srgbClr val="333333"/>
              </a:solidFill>
              <a:latin typeface="Calibri"/>
              <a:cs typeface="Calibri"/>
            </a:rPr>
            <a:t>If  this  document  was  downloaded  from  Email, please click  </a:t>
          </a:r>
          <a:r>
            <a:rPr lang="ru-RU" sz="1400" b="1" i="0" u="none" strike="noStrike" baseline="0">
              <a:solidFill>
                <a:srgbClr val="333333"/>
              </a:solidFill>
              <a:latin typeface="Calibri"/>
              <a:cs typeface="Calibri"/>
            </a:rPr>
            <a:t>Enable  Editing</a:t>
          </a: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ru-RU" sz="14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  from  the  yellow  bar  above</a:t>
          </a:r>
        </a:p>
        <a:p>
          <a:pPr algn="l" rtl="0">
            <a:defRPr sz="1000"/>
          </a:pPr>
          <a:r>
            <a:rPr lang="ru-RU" sz="14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                                       </a:t>
          </a:r>
        </a:p>
        <a:p>
          <a:pPr algn="l" rtl="0">
            <a:defRPr sz="1000"/>
          </a:pPr>
          <a:r>
            <a:rPr lang="ru-RU" sz="14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  Once  You  have  Enable Editing , please click  </a:t>
          </a:r>
          <a:r>
            <a:rPr lang="ru-RU" sz="1400" b="1" i="0" u="none" strike="noStrike" baseline="0">
              <a:solidFill>
                <a:srgbClr val="333333"/>
              </a:solidFill>
              <a:latin typeface="Calibri"/>
              <a:cs typeface="Calibri"/>
            </a:rPr>
            <a:t>Enable Content</a:t>
          </a: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ru-RU" sz="14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  from  the  yellow  bar  above</a:t>
          </a:r>
        </a:p>
        <a:p>
          <a:pPr algn="l" rtl="0">
            <a:defRPr sz="1000"/>
          </a:pPr>
          <a:r>
            <a:rPr lang="ru-RU" sz="14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                                </a:t>
          </a: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ru-RU" sz="18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        WHY I CANNOT OPEN THIS  DOCUMENT?</a:t>
          </a:r>
        </a:p>
        <a:p>
          <a:pPr algn="l" rtl="0">
            <a:defRPr sz="1000"/>
          </a:pPr>
          <a:endParaRPr lang="ru-RU" sz="18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ru-RU" sz="18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</a:t>
          </a:r>
          <a:r>
            <a:rPr lang="ru-RU" sz="1400" b="0" i="0" u="none" strike="noStrike" baseline="0">
              <a:solidFill>
                <a:srgbClr val="333333"/>
              </a:solidFill>
              <a:latin typeface="Calibri"/>
              <a:cs typeface="Calibri"/>
            </a:rPr>
            <a:t>You are using iOS or Android, please use Desktop PC</a:t>
          </a:r>
        </a:p>
        <a:p>
          <a:pPr algn="l" rtl="0">
            <a:defRPr sz="1000"/>
          </a:pPr>
          <a:r>
            <a:rPr lang="ru-RU" sz="14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                                                     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    </a:t>
          </a:r>
          <a:r>
            <a:rPr lang="ru-RU" sz="1400" b="0" i="0" u="none" strike="noStrike" baseline="0">
              <a:solidFill>
                <a:srgbClr val="333333"/>
              </a:solidFill>
              <a:latin typeface="Calibri"/>
              <a:cs typeface="Calibri"/>
            </a:rPr>
            <a:t>You are trying to view this document using Online Viewer</a:t>
          </a: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324" name="Рисунок 2">
          <a:extLst>
            <a:ext uri="{FF2B5EF4-FFF2-40B4-BE49-F238E27FC236}">
              <a16:creationId xmlns="" xmlns:a16="http://schemas.microsoft.com/office/drawing/2014/main" id="{00000000-0008-0000-0300-00004401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325" name="Рисунок 2">
          <a:extLst>
            <a:ext uri="{FF2B5EF4-FFF2-40B4-BE49-F238E27FC236}">
              <a16:creationId xmlns="" xmlns:a16="http://schemas.microsoft.com/office/drawing/2014/main" id="{00000000-0008-0000-0300-00004501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326" name="Рисунок 2">
          <a:extLst>
            <a:ext uri="{FF2B5EF4-FFF2-40B4-BE49-F238E27FC236}">
              <a16:creationId xmlns="" xmlns:a16="http://schemas.microsoft.com/office/drawing/2014/main" id="{00000000-0008-0000-0300-00004601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327" name="Рисунок 2">
          <a:extLst>
            <a:ext uri="{FF2B5EF4-FFF2-40B4-BE49-F238E27FC236}">
              <a16:creationId xmlns="" xmlns:a16="http://schemas.microsoft.com/office/drawing/2014/main" id="{00000000-0008-0000-0300-00004701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328" name="Рисунок 2">
          <a:extLst>
            <a:ext uri="{FF2B5EF4-FFF2-40B4-BE49-F238E27FC236}">
              <a16:creationId xmlns="" xmlns:a16="http://schemas.microsoft.com/office/drawing/2014/main" id="{00000000-0008-0000-0300-00004801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329" name="Рисунок 2">
          <a:extLst>
            <a:ext uri="{FF2B5EF4-FFF2-40B4-BE49-F238E27FC236}">
              <a16:creationId xmlns="" xmlns:a16="http://schemas.microsoft.com/office/drawing/2014/main" id="{00000000-0008-0000-0300-00004901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330" name="Рисунок 2">
          <a:extLst>
            <a:ext uri="{FF2B5EF4-FFF2-40B4-BE49-F238E27FC236}">
              <a16:creationId xmlns="" xmlns:a16="http://schemas.microsoft.com/office/drawing/2014/main" id="{00000000-0008-0000-0300-00004A01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331" name="Рисунок 2">
          <a:extLst>
            <a:ext uri="{FF2B5EF4-FFF2-40B4-BE49-F238E27FC236}">
              <a16:creationId xmlns="" xmlns:a16="http://schemas.microsoft.com/office/drawing/2014/main" id="{00000000-0008-0000-0300-00004B01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332" name="Рисунок 2">
          <a:extLst>
            <a:ext uri="{FF2B5EF4-FFF2-40B4-BE49-F238E27FC236}">
              <a16:creationId xmlns="" xmlns:a16="http://schemas.microsoft.com/office/drawing/2014/main" id="{00000000-0008-0000-0300-00004C01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333" name="Рисунок 2">
          <a:extLst>
            <a:ext uri="{FF2B5EF4-FFF2-40B4-BE49-F238E27FC236}">
              <a16:creationId xmlns="" xmlns:a16="http://schemas.microsoft.com/office/drawing/2014/main" id="{00000000-0008-0000-0300-00004D01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334" name="Рисунок 2">
          <a:extLst>
            <a:ext uri="{FF2B5EF4-FFF2-40B4-BE49-F238E27FC236}">
              <a16:creationId xmlns="" xmlns:a16="http://schemas.microsoft.com/office/drawing/2014/main" id="{00000000-0008-0000-0300-00004E01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335" name="Рисунок 2">
          <a:extLst>
            <a:ext uri="{FF2B5EF4-FFF2-40B4-BE49-F238E27FC236}">
              <a16:creationId xmlns="" xmlns:a16="http://schemas.microsoft.com/office/drawing/2014/main" id="{00000000-0008-0000-0300-00004F01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336" name="Рисунок 2">
          <a:extLst>
            <a:ext uri="{FF2B5EF4-FFF2-40B4-BE49-F238E27FC236}">
              <a16:creationId xmlns="" xmlns:a16="http://schemas.microsoft.com/office/drawing/2014/main" id="{00000000-0008-0000-0300-00005001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337" name="Рисунок 2">
          <a:extLst>
            <a:ext uri="{FF2B5EF4-FFF2-40B4-BE49-F238E27FC236}">
              <a16:creationId xmlns="" xmlns:a16="http://schemas.microsoft.com/office/drawing/2014/main" id="{00000000-0008-0000-0300-00005101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338" name="Рисунок 2">
          <a:extLst>
            <a:ext uri="{FF2B5EF4-FFF2-40B4-BE49-F238E27FC236}">
              <a16:creationId xmlns="" xmlns:a16="http://schemas.microsoft.com/office/drawing/2014/main" id="{00000000-0008-0000-0300-00005201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339" name="Рисунок 2">
          <a:extLst>
            <a:ext uri="{FF2B5EF4-FFF2-40B4-BE49-F238E27FC236}">
              <a16:creationId xmlns="" xmlns:a16="http://schemas.microsoft.com/office/drawing/2014/main" id="{00000000-0008-0000-0300-00005301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340" name="Рисунок 2">
          <a:extLst>
            <a:ext uri="{FF2B5EF4-FFF2-40B4-BE49-F238E27FC236}">
              <a16:creationId xmlns="" xmlns:a16="http://schemas.microsoft.com/office/drawing/2014/main" id="{00000000-0008-0000-0300-00005401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341" name="Рисунок 2">
          <a:extLst>
            <a:ext uri="{FF2B5EF4-FFF2-40B4-BE49-F238E27FC236}">
              <a16:creationId xmlns="" xmlns:a16="http://schemas.microsoft.com/office/drawing/2014/main" id="{00000000-0008-0000-0300-00005501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342" name="Рисунок 2">
          <a:extLst>
            <a:ext uri="{FF2B5EF4-FFF2-40B4-BE49-F238E27FC236}">
              <a16:creationId xmlns="" xmlns:a16="http://schemas.microsoft.com/office/drawing/2014/main" id="{00000000-0008-0000-0300-00005601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343" name="Рисунок 2">
          <a:extLst>
            <a:ext uri="{FF2B5EF4-FFF2-40B4-BE49-F238E27FC236}">
              <a16:creationId xmlns="" xmlns:a16="http://schemas.microsoft.com/office/drawing/2014/main" id="{00000000-0008-0000-0300-00005701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344" name="Рисунок 2">
          <a:extLst>
            <a:ext uri="{FF2B5EF4-FFF2-40B4-BE49-F238E27FC236}">
              <a16:creationId xmlns="" xmlns:a16="http://schemas.microsoft.com/office/drawing/2014/main" id="{00000000-0008-0000-0300-00005801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345" name="Рисунок 2">
          <a:extLst>
            <a:ext uri="{FF2B5EF4-FFF2-40B4-BE49-F238E27FC236}">
              <a16:creationId xmlns="" xmlns:a16="http://schemas.microsoft.com/office/drawing/2014/main" id="{00000000-0008-0000-0300-00005901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346" name="Рисунок 2">
          <a:extLst>
            <a:ext uri="{FF2B5EF4-FFF2-40B4-BE49-F238E27FC236}">
              <a16:creationId xmlns="" xmlns:a16="http://schemas.microsoft.com/office/drawing/2014/main" id="{00000000-0008-0000-0300-00005A01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347" name="Рисунок 2">
          <a:extLst>
            <a:ext uri="{FF2B5EF4-FFF2-40B4-BE49-F238E27FC236}">
              <a16:creationId xmlns="" xmlns:a16="http://schemas.microsoft.com/office/drawing/2014/main" id="{00000000-0008-0000-0300-00005B01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348" name="Рисунок 2">
          <a:extLst>
            <a:ext uri="{FF2B5EF4-FFF2-40B4-BE49-F238E27FC236}">
              <a16:creationId xmlns="" xmlns:a16="http://schemas.microsoft.com/office/drawing/2014/main" id="{00000000-0008-0000-0300-00005C01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349" name="Рисунок 2">
          <a:extLst>
            <a:ext uri="{FF2B5EF4-FFF2-40B4-BE49-F238E27FC236}">
              <a16:creationId xmlns="" xmlns:a16="http://schemas.microsoft.com/office/drawing/2014/main" id="{00000000-0008-0000-0300-00005D01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350" name="Рисунок 2">
          <a:extLst>
            <a:ext uri="{FF2B5EF4-FFF2-40B4-BE49-F238E27FC236}">
              <a16:creationId xmlns="" xmlns:a16="http://schemas.microsoft.com/office/drawing/2014/main" id="{00000000-0008-0000-0300-00005E01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351" name="Рисунок 2">
          <a:extLst>
            <a:ext uri="{FF2B5EF4-FFF2-40B4-BE49-F238E27FC236}">
              <a16:creationId xmlns="" xmlns:a16="http://schemas.microsoft.com/office/drawing/2014/main" id="{00000000-0008-0000-0300-00005F01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352" name="Рисунок 2">
          <a:extLst>
            <a:ext uri="{FF2B5EF4-FFF2-40B4-BE49-F238E27FC236}">
              <a16:creationId xmlns="" xmlns:a16="http://schemas.microsoft.com/office/drawing/2014/main" id="{00000000-0008-0000-0300-00006001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353" name="Рисунок 2">
          <a:extLst>
            <a:ext uri="{FF2B5EF4-FFF2-40B4-BE49-F238E27FC236}">
              <a16:creationId xmlns="" xmlns:a16="http://schemas.microsoft.com/office/drawing/2014/main" id="{00000000-0008-0000-0300-00006101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354" name="Рисунок 2">
          <a:extLst>
            <a:ext uri="{FF2B5EF4-FFF2-40B4-BE49-F238E27FC236}">
              <a16:creationId xmlns="" xmlns:a16="http://schemas.microsoft.com/office/drawing/2014/main" id="{00000000-0008-0000-0300-00006201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355" name="Рисунок 2">
          <a:extLst>
            <a:ext uri="{FF2B5EF4-FFF2-40B4-BE49-F238E27FC236}">
              <a16:creationId xmlns="" xmlns:a16="http://schemas.microsoft.com/office/drawing/2014/main" id="{00000000-0008-0000-0300-00006301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356" name="Рисунок 2">
          <a:extLst>
            <a:ext uri="{FF2B5EF4-FFF2-40B4-BE49-F238E27FC236}">
              <a16:creationId xmlns="" xmlns:a16="http://schemas.microsoft.com/office/drawing/2014/main" id="{00000000-0008-0000-0300-00006401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357" name="Рисунок 2">
          <a:extLst>
            <a:ext uri="{FF2B5EF4-FFF2-40B4-BE49-F238E27FC236}">
              <a16:creationId xmlns="" xmlns:a16="http://schemas.microsoft.com/office/drawing/2014/main" id="{00000000-0008-0000-0300-00006501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358" name="Рисунок 2">
          <a:extLst>
            <a:ext uri="{FF2B5EF4-FFF2-40B4-BE49-F238E27FC236}">
              <a16:creationId xmlns="" xmlns:a16="http://schemas.microsoft.com/office/drawing/2014/main" id="{00000000-0008-0000-0300-00006601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359" name="Рисунок 2">
          <a:extLst>
            <a:ext uri="{FF2B5EF4-FFF2-40B4-BE49-F238E27FC236}">
              <a16:creationId xmlns="" xmlns:a16="http://schemas.microsoft.com/office/drawing/2014/main" id="{00000000-0008-0000-0300-00006701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360" name="Рисунок 2">
          <a:extLst>
            <a:ext uri="{FF2B5EF4-FFF2-40B4-BE49-F238E27FC236}">
              <a16:creationId xmlns="" xmlns:a16="http://schemas.microsoft.com/office/drawing/2014/main" id="{00000000-0008-0000-0300-00006801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361" name="Рисунок 2">
          <a:extLst>
            <a:ext uri="{FF2B5EF4-FFF2-40B4-BE49-F238E27FC236}">
              <a16:creationId xmlns="" xmlns:a16="http://schemas.microsoft.com/office/drawing/2014/main" id="{00000000-0008-0000-0300-00006901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362" name="Рисунок 2">
          <a:extLst>
            <a:ext uri="{FF2B5EF4-FFF2-40B4-BE49-F238E27FC236}">
              <a16:creationId xmlns="" xmlns:a16="http://schemas.microsoft.com/office/drawing/2014/main" id="{00000000-0008-0000-0300-00006A01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363" name="Рисунок 2">
          <a:extLst>
            <a:ext uri="{FF2B5EF4-FFF2-40B4-BE49-F238E27FC236}">
              <a16:creationId xmlns="" xmlns:a16="http://schemas.microsoft.com/office/drawing/2014/main" id="{00000000-0008-0000-0300-00006B01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364" name="Рисунок 2">
          <a:extLst>
            <a:ext uri="{FF2B5EF4-FFF2-40B4-BE49-F238E27FC236}">
              <a16:creationId xmlns="" xmlns:a16="http://schemas.microsoft.com/office/drawing/2014/main" id="{00000000-0008-0000-0300-00006C01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365" name="Рисунок 2">
          <a:extLst>
            <a:ext uri="{FF2B5EF4-FFF2-40B4-BE49-F238E27FC236}">
              <a16:creationId xmlns="" xmlns:a16="http://schemas.microsoft.com/office/drawing/2014/main" id="{00000000-0008-0000-0300-00006D01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366" name="Рисунок 2">
          <a:extLst>
            <a:ext uri="{FF2B5EF4-FFF2-40B4-BE49-F238E27FC236}">
              <a16:creationId xmlns="" xmlns:a16="http://schemas.microsoft.com/office/drawing/2014/main" id="{00000000-0008-0000-0300-00006E01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367" name="Рисунок 2">
          <a:extLst>
            <a:ext uri="{FF2B5EF4-FFF2-40B4-BE49-F238E27FC236}">
              <a16:creationId xmlns="" xmlns:a16="http://schemas.microsoft.com/office/drawing/2014/main" id="{00000000-0008-0000-0300-00006F01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368" name="Рисунок 2">
          <a:extLst>
            <a:ext uri="{FF2B5EF4-FFF2-40B4-BE49-F238E27FC236}">
              <a16:creationId xmlns="" xmlns:a16="http://schemas.microsoft.com/office/drawing/2014/main" id="{00000000-0008-0000-0300-00007001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369" name="Рисунок 2">
          <a:extLst>
            <a:ext uri="{FF2B5EF4-FFF2-40B4-BE49-F238E27FC236}">
              <a16:creationId xmlns="" xmlns:a16="http://schemas.microsoft.com/office/drawing/2014/main" id="{00000000-0008-0000-0300-00007101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370" name="Рисунок 2">
          <a:extLst>
            <a:ext uri="{FF2B5EF4-FFF2-40B4-BE49-F238E27FC236}">
              <a16:creationId xmlns="" xmlns:a16="http://schemas.microsoft.com/office/drawing/2014/main" id="{00000000-0008-0000-0300-00007201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371" name="Рисунок 2">
          <a:extLst>
            <a:ext uri="{FF2B5EF4-FFF2-40B4-BE49-F238E27FC236}">
              <a16:creationId xmlns="" xmlns:a16="http://schemas.microsoft.com/office/drawing/2014/main" id="{00000000-0008-0000-0300-00007301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372" name="Рисунок 2">
          <a:extLst>
            <a:ext uri="{FF2B5EF4-FFF2-40B4-BE49-F238E27FC236}">
              <a16:creationId xmlns="" xmlns:a16="http://schemas.microsoft.com/office/drawing/2014/main" id="{00000000-0008-0000-0300-00007401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373" name="Рисунок 2">
          <a:extLst>
            <a:ext uri="{FF2B5EF4-FFF2-40B4-BE49-F238E27FC236}">
              <a16:creationId xmlns="" xmlns:a16="http://schemas.microsoft.com/office/drawing/2014/main" id="{00000000-0008-0000-0300-00007501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374" name="Рисунок 2">
          <a:extLst>
            <a:ext uri="{FF2B5EF4-FFF2-40B4-BE49-F238E27FC236}">
              <a16:creationId xmlns="" xmlns:a16="http://schemas.microsoft.com/office/drawing/2014/main" id="{00000000-0008-0000-0300-00007601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375" name="Рисунок 2">
          <a:extLst>
            <a:ext uri="{FF2B5EF4-FFF2-40B4-BE49-F238E27FC236}">
              <a16:creationId xmlns="" xmlns:a16="http://schemas.microsoft.com/office/drawing/2014/main" id="{00000000-0008-0000-0300-00007701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376" name="Рисунок 2">
          <a:extLst>
            <a:ext uri="{FF2B5EF4-FFF2-40B4-BE49-F238E27FC236}">
              <a16:creationId xmlns="" xmlns:a16="http://schemas.microsoft.com/office/drawing/2014/main" id="{00000000-0008-0000-0300-00007801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377" name="Рисунок 2">
          <a:extLst>
            <a:ext uri="{FF2B5EF4-FFF2-40B4-BE49-F238E27FC236}">
              <a16:creationId xmlns="" xmlns:a16="http://schemas.microsoft.com/office/drawing/2014/main" id="{00000000-0008-0000-0300-00007901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378" name="Рисунок 2">
          <a:extLst>
            <a:ext uri="{FF2B5EF4-FFF2-40B4-BE49-F238E27FC236}">
              <a16:creationId xmlns="" xmlns:a16="http://schemas.microsoft.com/office/drawing/2014/main" id="{00000000-0008-0000-0300-00007A01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379" name="Рисунок 2">
          <a:extLst>
            <a:ext uri="{FF2B5EF4-FFF2-40B4-BE49-F238E27FC236}">
              <a16:creationId xmlns="" xmlns:a16="http://schemas.microsoft.com/office/drawing/2014/main" id="{00000000-0008-0000-0300-00007B01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380" name="Рисунок 2">
          <a:extLst>
            <a:ext uri="{FF2B5EF4-FFF2-40B4-BE49-F238E27FC236}">
              <a16:creationId xmlns="" xmlns:a16="http://schemas.microsoft.com/office/drawing/2014/main" id="{00000000-0008-0000-0300-00007C01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381" name="Рисунок 2">
          <a:extLst>
            <a:ext uri="{FF2B5EF4-FFF2-40B4-BE49-F238E27FC236}">
              <a16:creationId xmlns="" xmlns:a16="http://schemas.microsoft.com/office/drawing/2014/main" id="{00000000-0008-0000-0300-00007D01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382" name="Рисунок 2">
          <a:extLst>
            <a:ext uri="{FF2B5EF4-FFF2-40B4-BE49-F238E27FC236}">
              <a16:creationId xmlns="" xmlns:a16="http://schemas.microsoft.com/office/drawing/2014/main" id="{00000000-0008-0000-0300-00007E01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383" name="Рисунок 2">
          <a:extLst>
            <a:ext uri="{FF2B5EF4-FFF2-40B4-BE49-F238E27FC236}">
              <a16:creationId xmlns="" xmlns:a16="http://schemas.microsoft.com/office/drawing/2014/main" id="{00000000-0008-0000-0300-00007F01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384" name="Рисунок 2">
          <a:extLst>
            <a:ext uri="{FF2B5EF4-FFF2-40B4-BE49-F238E27FC236}">
              <a16:creationId xmlns="" xmlns:a16="http://schemas.microsoft.com/office/drawing/2014/main" id="{00000000-0008-0000-0300-00008001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385" name="Рисунок 2">
          <a:extLst>
            <a:ext uri="{FF2B5EF4-FFF2-40B4-BE49-F238E27FC236}">
              <a16:creationId xmlns="" xmlns:a16="http://schemas.microsoft.com/office/drawing/2014/main" id="{00000000-0008-0000-0300-00008101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386" name="Рисунок 2">
          <a:extLst>
            <a:ext uri="{FF2B5EF4-FFF2-40B4-BE49-F238E27FC236}">
              <a16:creationId xmlns="" xmlns:a16="http://schemas.microsoft.com/office/drawing/2014/main" id="{00000000-0008-0000-0300-00008201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387" name="Рисунок 2">
          <a:extLst>
            <a:ext uri="{FF2B5EF4-FFF2-40B4-BE49-F238E27FC236}">
              <a16:creationId xmlns="" xmlns:a16="http://schemas.microsoft.com/office/drawing/2014/main" id="{00000000-0008-0000-0300-00008301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388" name="Рисунок 2">
          <a:extLst>
            <a:ext uri="{FF2B5EF4-FFF2-40B4-BE49-F238E27FC236}">
              <a16:creationId xmlns="" xmlns:a16="http://schemas.microsoft.com/office/drawing/2014/main" id="{00000000-0008-0000-0300-00008401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389" name="Рисунок 2">
          <a:extLst>
            <a:ext uri="{FF2B5EF4-FFF2-40B4-BE49-F238E27FC236}">
              <a16:creationId xmlns="" xmlns:a16="http://schemas.microsoft.com/office/drawing/2014/main" id="{00000000-0008-0000-0300-00008501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390" name="Рисунок 2">
          <a:extLst>
            <a:ext uri="{FF2B5EF4-FFF2-40B4-BE49-F238E27FC236}">
              <a16:creationId xmlns="" xmlns:a16="http://schemas.microsoft.com/office/drawing/2014/main" id="{00000000-0008-0000-0300-00008601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391" name="Рисунок 2">
          <a:extLst>
            <a:ext uri="{FF2B5EF4-FFF2-40B4-BE49-F238E27FC236}">
              <a16:creationId xmlns="" xmlns:a16="http://schemas.microsoft.com/office/drawing/2014/main" id="{00000000-0008-0000-0300-00008701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392" name="Рисунок 2">
          <a:extLst>
            <a:ext uri="{FF2B5EF4-FFF2-40B4-BE49-F238E27FC236}">
              <a16:creationId xmlns="" xmlns:a16="http://schemas.microsoft.com/office/drawing/2014/main" id="{00000000-0008-0000-0300-00008801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393" name="Рисунок 2">
          <a:extLst>
            <a:ext uri="{FF2B5EF4-FFF2-40B4-BE49-F238E27FC236}">
              <a16:creationId xmlns="" xmlns:a16="http://schemas.microsoft.com/office/drawing/2014/main" id="{00000000-0008-0000-0300-00008901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394" name="Рисунок 2">
          <a:extLst>
            <a:ext uri="{FF2B5EF4-FFF2-40B4-BE49-F238E27FC236}">
              <a16:creationId xmlns="" xmlns:a16="http://schemas.microsoft.com/office/drawing/2014/main" id="{00000000-0008-0000-0300-00008A01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395" name="Рисунок 2">
          <a:extLst>
            <a:ext uri="{FF2B5EF4-FFF2-40B4-BE49-F238E27FC236}">
              <a16:creationId xmlns="" xmlns:a16="http://schemas.microsoft.com/office/drawing/2014/main" id="{00000000-0008-0000-0300-00008B01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396" name="Рисунок 2">
          <a:extLst>
            <a:ext uri="{FF2B5EF4-FFF2-40B4-BE49-F238E27FC236}">
              <a16:creationId xmlns="" xmlns:a16="http://schemas.microsoft.com/office/drawing/2014/main" id="{00000000-0008-0000-0300-00008C01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397" name="Рисунок 2">
          <a:extLst>
            <a:ext uri="{FF2B5EF4-FFF2-40B4-BE49-F238E27FC236}">
              <a16:creationId xmlns="" xmlns:a16="http://schemas.microsoft.com/office/drawing/2014/main" id="{00000000-0008-0000-0300-00008D01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398" name="Рисунок 2">
          <a:extLst>
            <a:ext uri="{FF2B5EF4-FFF2-40B4-BE49-F238E27FC236}">
              <a16:creationId xmlns="" xmlns:a16="http://schemas.microsoft.com/office/drawing/2014/main" id="{00000000-0008-0000-0300-00008E01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399" name="Рисунок 2">
          <a:extLst>
            <a:ext uri="{FF2B5EF4-FFF2-40B4-BE49-F238E27FC236}">
              <a16:creationId xmlns="" xmlns:a16="http://schemas.microsoft.com/office/drawing/2014/main" id="{00000000-0008-0000-0300-00008F01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400" name="Рисунок 2">
          <a:extLst>
            <a:ext uri="{FF2B5EF4-FFF2-40B4-BE49-F238E27FC236}">
              <a16:creationId xmlns="" xmlns:a16="http://schemas.microsoft.com/office/drawing/2014/main" id="{00000000-0008-0000-0300-00009001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401" name="Рисунок 2">
          <a:extLst>
            <a:ext uri="{FF2B5EF4-FFF2-40B4-BE49-F238E27FC236}">
              <a16:creationId xmlns="" xmlns:a16="http://schemas.microsoft.com/office/drawing/2014/main" id="{00000000-0008-0000-0300-00009101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0</xdr:row>
      <xdr:rowOff>180975</xdr:rowOff>
    </xdr:from>
    <xdr:to>
      <xdr:col>1</xdr:col>
      <xdr:colOff>238125</xdr:colOff>
      <xdr:row>1</xdr:row>
      <xdr:rowOff>66675</xdr:rowOff>
    </xdr:to>
    <xdr:sp macro="" textlink="">
      <xdr:nvSpPr>
        <xdr:cNvPr id="402" name="Рисунок 2">
          <a:extLst>
            <a:ext uri="{FF2B5EF4-FFF2-40B4-BE49-F238E27FC236}">
              <a16:creationId xmlns="" xmlns:a16="http://schemas.microsoft.com/office/drawing/2014/main" id="{00000000-0008-0000-0300-000092010000}"/>
            </a:ext>
          </a:extLst>
        </xdr:cNvPr>
        <xdr:cNvSpPr>
          <a:spLocks noChangeArrowheads="1"/>
        </xdr:cNvSpPr>
      </xdr:nvSpPr>
      <xdr:spPr bwMode="auto">
        <a:xfrm>
          <a:off x="752475" y="18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307588</xdr:colOff>
      <xdr:row>21</xdr:row>
      <xdr:rowOff>5430</xdr:rowOff>
    </xdr:from>
    <xdr:to>
      <xdr:col>1</xdr:col>
      <xdr:colOff>374959</xdr:colOff>
      <xdr:row>21</xdr:row>
      <xdr:rowOff>75125</xdr:rowOff>
    </xdr:to>
    <xdr:sp macro="" textlink="">
      <xdr:nvSpPr>
        <xdr:cNvPr id="403" name="Rectangle 9">
          <a:extLst>
            <a:ext uri="{FF2B5EF4-FFF2-40B4-BE49-F238E27FC236}">
              <a16:creationId xmlns="" xmlns:a16="http://schemas.microsoft.com/office/drawing/2014/main" id="{00000000-0008-0000-0300-000093010000}"/>
            </a:ext>
          </a:extLst>
        </xdr:cNvPr>
        <xdr:cNvSpPr>
          <a:spLocks noChangeArrowheads="1"/>
        </xdr:cNvSpPr>
      </xdr:nvSpPr>
      <xdr:spPr bwMode="auto">
        <a:xfrm>
          <a:off x="914807" y="4005930"/>
          <a:ext cx="67371" cy="69695"/>
        </a:xfrm>
        <a:prstGeom prst="rect">
          <a:avLst/>
        </a:prstGeom>
        <a:noFill/>
        <a:ln w="24765" cap="flat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prstDash val="solid"/>
          <a:miter lim="800000"/>
          <a:headEnd/>
          <a:tailEnd/>
        </a:ln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404" name="Рисунок 2">
          <a:extLst>
            <a:ext uri="{FF2B5EF4-FFF2-40B4-BE49-F238E27FC236}">
              <a16:creationId xmlns="" xmlns:a16="http://schemas.microsoft.com/office/drawing/2014/main" id="{00000000-0008-0000-0300-00009501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405" name="Рисунок 2">
          <a:extLst>
            <a:ext uri="{FF2B5EF4-FFF2-40B4-BE49-F238E27FC236}">
              <a16:creationId xmlns="" xmlns:a16="http://schemas.microsoft.com/office/drawing/2014/main" id="{00000000-0008-0000-0300-00009601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406" name="Рисунок 2">
          <a:extLst>
            <a:ext uri="{FF2B5EF4-FFF2-40B4-BE49-F238E27FC236}">
              <a16:creationId xmlns="" xmlns:a16="http://schemas.microsoft.com/office/drawing/2014/main" id="{00000000-0008-0000-0300-00009701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407" name="Рисунок 2">
          <a:extLst>
            <a:ext uri="{FF2B5EF4-FFF2-40B4-BE49-F238E27FC236}">
              <a16:creationId xmlns="" xmlns:a16="http://schemas.microsoft.com/office/drawing/2014/main" id="{00000000-0008-0000-0300-00009801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408" name="Рисунок 2">
          <a:extLst>
            <a:ext uri="{FF2B5EF4-FFF2-40B4-BE49-F238E27FC236}">
              <a16:creationId xmlns="" xmlns:a16="http://schemas.microsoft.com/office/drawing/2014/main" id="{00000000-0008-0000-0300-00009901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409" name="Рисунок 2">
          <a:extLst>
            <a:ext uri="{FF2B5EF4-FFF2-40B4-BE49-F238E27FC236}">
              <a16:creationId xmlns="" xmlns:a16="http://schemas.microsoft.com/office/drawing/2014/main" id="{00000000-0008-0000-0300-00009A01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410" name="Рисунок 2">
          <a:extLst>
            <a:ext uri="{FF2B5EF4-FFF2-40B4-BE49-F238E27FC236}">
              <a16:creationId xmlns="" xmlns:a16="http://schemas.microsoft.com/office/drawing/2014/main" id="{00000000-0008-0000-0300-00009B01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411" name="Рисунок 2">
          <a:extLst>
            <a:ext uri="{FF2B5EF4-FFF2-40B4-BE49-F238E27FC236}">
              <a16:creationId xmlns="" xmlns:a16="http://schemas.microsoft.com/office/drawing/2014/main" id="{00000000-0008-0000-0300-00009C01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412" name="Рисунок 2">
          <a:extLst>
            <a:ext uri="{FF2B5EF4-FFF2-40B4-BE49-F238E27FC236}">
              <a16:creationId xmlns="" xmlns:a16="http://schemas.microsoft.com/office/drawing/2014/main" id="{00000000-0008-0000-0300-00009D01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413" name="Рисунок 2">
          <a:extLst>
            <a:ext uri="{FF2B5EF4-FFF2-40B4-BE49-F238E27FC236}">
              <a16:creationId xmlns="" xmlns:a16="http://schemas.microsoft.com/office/drawing/2014/main" id="{00000000-0008-0000-0300-00009E01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414" name="Рисунок 2">
          <a:extLst>
            <a:ext uri="{FF2B5EF4-FFF2-40B4-BE49-F238E27FC236}">
              <a16:creationId xmlns="" xmlns:a16="http://schemas.microsoft.com/office/drawing/2014/main" id="{00000000-0008-0000-0300-00009F01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415" name="Рисунок 2">
          <a:extLst>
            <a:ext uri="{FF2B5EF4-FFF2-40B4-BE49-F238E27FC236}">
              <a16:creationId xmlns="" xmlns:a16="http://schemas.microsoft.com/office/drawing/2014/main" id="{00000000-0008-0000-0300-0000A001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416" name="Рисунок 2">
          <a:extLst>
            <a:ext uri="{FF2B5EF4-FFF2-40B4-BE49-F238E27FC236}">
              <a16:creationId xmlns="" xmlns:a16="http://schemas.microsoft.com/office/drawing/2014/main" id="{00000000-0008-0000-0300-0000A101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417" name="Рисунок 2">
          <a:extLst>
            <a:ext uri="{FF2B5EF4-FFF2-40B4-BE49-F238E27FC236}">
              <a16:creationId xmlns="" xmlns:a16="http://schemas.microsoft.com/office/drawing/2014/main" id="{00000000-0008-0000-0300-0000A201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418" name="Рисунок 2">
          <a:extLst>
            <a:ext uri="{FF2B5EF4-FFF2-40B4-BE49-F238E27FC236}">
              <a16:creationId xmlns="" xmlns:a16="http://schemas.microsoft.com/office/drawing/2014/main" id="{00000000-0008-0000-0300-0000A301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419" name="Рисунок 2">
          <a:extLst>
            <a:ext uri="{FF2B5EF4-FFF2-40B4-BE49-F238E27FC236}">
              <a16:creationId xmlns="" xmlns:a16="http://schemas.microsoft.com/office/drawing/2014/main" id="{00000000-0008-0000-0300-0000A401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420" name="Рисунок 2">
          <a:extLst>
            <a:ext uri="{FF2B5EF4-FFF2-40B4-BE49-F238E27FC236}">
              <a16:creationId xmlns="" xmlns:a16="http://schemas.microsoft.com/office/drawing/2014/main" id="{00000000-0008-0000-0300-0000A501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421" name="Рисунок 2">
          <a:extLst>
            <a:ext uri="{FF2B5EF4-FFF2-40B4-BE49-F238E27FC236}">
              <a16:creationId xmlns="" xmlns:a16="http://schemas.microsoft.com/office/drawing/2014/main" id="{00000000-0008-0000-0300-0000A601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422" name="Рисунок 2">
          <a:extLst>
            <a:ext uri="{FF2B5EF4-FFF2-40B4-BE49-F238E27FC236}">
              <a16:creationId xmlns="" xmlns:a16="http://schemas.microsoft.com/office/drawing/2014/main" id="{00000000-0008-0000-0300-0000A701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423" name="Рисунок 2">
          <a:extLst>
            <a:ext uri="{FF2B5EF4-FFF2-40B4-BE49-F238E27FC236}">
              <a16:creationId xmlns="" xmlns:a16="http://schemas.microsoft.com/office/drawing/2014/main" id="{00000000-0008-0000-0300-0000A801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424" name="Рисунок 2">
          <a:extLst>
            <a:ext uri="{FF2B5EF4-FFF2-40B4-BE49-F238E27FC236}">
              <a16:creationId xmlns="" xmlns:a16="http://schemas.microsoft.com/office/drawing/2014/main" id="{00000000-0008-0000-0300-0000A901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425" name="Рисунок 2">
          <a:extLst>
            <a:ext uri="{FF2B5EF4-FFF2-40B4-BE49-F238E27FC236}">
              <a16:creationId xmlns="" xmlns:a16="http://schemas.microsoft.com/office/drawing/2014/main" id="{00000000-0008-0000-0300-0000AA01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426" name="Рисунок 2">
          <a:extLst>
            <a:ext uri="{FF2B5EF4-FFF2-40B4-BE49-F238E27FC236}">
              <a16:creationId xmlns="" xmlns:a16="http://schemas.microsoft.com/office/drawing/2014/main" id="{00000000-0008-0000-0300-0000AB01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427" name="Рисунок 2">
          <a:extLst>
            <a:ext uri="{FF2B5EF4-FFF2-40B4-BE49-F238E27FC236}">
              <a16:creationId xmlns="" xmlns:a16="http://schemas.microsoft.com/office/drawing/2014/main" id="{00000000-0008-0000-0300-0000AC01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428" name="Рисунок 2">
          <a:extLst>
            <a:ext uri="{FF2B5EF4-FFF2-40B4-BE49-F238E27FC236}">
              <a16:creationId xmlns="" xmlns:a16="http://schemas.microsoft.com/office/drawing/2014/main" id="{00000000-0008-0000-0300-0000AD01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429" name="Рисунок 2">
          <a:extLst>
            <a:ext uri="{FF2B5EF4-FFF2-40B4-BE49-F238E27FC236}">
              <a16:creationId xmlns="" xmlns:a16="http://schemas.microsoft.com/office/drawing/2014/main" id="{00000000-0008-0000-0300-0000AE01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430" name="Рисунок 2">
          <a:extLst>
            <a:ext uri="{FF2B5EF4-FFF2-40B4-BE49-F238E27FC236}">
              <a16:creationId xmlns="" xmlns:a16="http://schemas.microsoft.com/office/drawing/2014/main" id="{00000000-0008-0000-0300-0000AF01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431" name="Рисунок 2">
          <a:extLst>
            <a:ext uri="{FF2B5EF4-FFF2-40B4-BE49-F238E27FC236}">
              <a16:creationId xmlns="" xmlns:a16="http://schemas.microsoft.com/office/drawing/2014/main" id="{00000000-0008-0000-0300-0000B001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432" name="Рисунок 2">
          <a:extLst>
            <a:ext uri="{FF2B5EF4-FFF2-40B4-BE49-F238E27FC236}">
              <a16:creationId xmlns="" xmlns:a16="http://schemas.microsoft.com/office/drawing/2014/main" id="{00000000-0008-0000-0300-0000B101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433" name="Рисунок 2">
          <a:extLst>
            <a:ext uri="{FF2B5EF4-FFF2-40B4-BE49-F238E27FC236}">
              <a16:creationId xmlns="" xmlns:a16="http://schemas.microsoft.com/office/drawing/2014/main" id="{00000000-0008-0000-0300-0000B201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434" name="Рисунок 2">
          <a:extLst>
            <a:ext uri="{FF2B5EF4-FFF2-40B4-BE49-F238E27FC236}">
              <a16:creationId xmlns="" xmlns:a16="http://schemas.microsoft.com/office/drawing/2014/main" id="{00000000-0008-0000-0300-0000B301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435" name="Рисунок 2">
          <a:extLst>
            <a:ext uri="{FF2B5EF4-FFF2-40B4-BE49-F238E27FC236}">
              <a16:creationId xmlns="" xmlns:a16="http://schemas.microsoft.com/office/drawing/2014/main" id="{00000000-0008-0000-0300-0000B401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436" name="Рисунок 2">
          <a:extLst>
            <a:ext uri="{FF2B5EF4-FFF2-40B4-BE49-F238E27FC236}">
              <a16:creationId xmlns="" xmlns:a16="http://schemas.microsoft.com/office/drawing/2014/main" id="{00000000-0008-0000-0300-0000B501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437" name="Рисунок 2">
          <a:extLst>
            <a:ext uri="{FF2B5EF4-FFF2-40B4-BE49-F238E27FC236}">
              <a16:creationId xmlns="" xmlns:a16="http://schemas.microsoft.com/office/drawing/2014/main" id="{00000000-0008-0000-0300-0000B601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438" name="Рисунок 2">
          <a:extLst>
            <a:ext uri="{FF2B5EF4-FFF2-40B4-BE49-F238E27FC236}">
              <a16:creationId xmlns="" xmlns:a16="http://schemas.microsoft.com/office/drawing/2014/main" id="{00000000-0008-0000-0300-0000B701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439" name="Рисунок 2">
          <a:extLst>
            <a:ext uri="{FF2B5EF4-FFF2-40B4-BE49-F238E27FC236}">
              <a16:creationId xmlns="" xmlns:a16="http://schemas.microsoft.com/office/drawing/2014/main" id="{00000000-0008-0000-0300-0000B801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440" name="Рисунок 2">
          <a:extLst>
            <a:ext uri="{FF2B5EF4-FFF2-40B4-BE49-F238E27FC236}">
              <a16:creationId xmlns="" xmlns:a16="http://schemas.microsoft.com/office/drawing/2014/main" id="{00000000-0008-0000-0300-0000B901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441" name="Рисунок 2">
          <a:extLst>
            <a:ext uri="{FF2B5EF4-FFF2-40B4-BE49-F238E27FC236}">
              <a16:creationId xmlns="" xmlns:a16="http://schemas.microsoft.com/office/drawing/2014/main" id="{00000000-0008-0000-0300-0000BA01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442" name="Рисунок 2">
          <a:extLst>
            <a:ext uri="{FF2B5EF4-FFF2-40B4-BE49-F238E27FC236}">
              <a16:creationId xmlns="" xmlns:a16="http://schemas.microsoft.com/office/drawing/2014/main" id="{00000000-0008-0000-0300-0000BB01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443" name="Рисунок 2">
          <a:extLst>
            <a:ext uri="{FF2B5EF4-FFF2-40B4-BE49-F238E27FC236}">
              <a16:creationId xmlns="" xmlns:a16="http://schemas.microsoft.com/office/drawing/2014/main" id="{00000000-0008-0000-0300-0000BC01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444" name="Рисунок 2">
          <a:extLst>
            <a:ext uri="{FF2B5EF4-FFF2-40B4-BE49-F238E27FC236}">
              <a16:creationId xmlns="" xmlns:a16="http://schemas.microsoft.com/office/drawing/2014/main" id="{00000000-0008-0000-0300-0000BD01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445" name="Рисунок 2">
          <a:extLst>
            <a:ext uri="{FF2B5EF4-FFF2-40B4-BE49-F238E27FC236}">
              <a16:creationId xmlns="" xmlns:a16="http://schemas.microsoft.com/office/drawing/2014/main" id="{00000000-0008-0000-0300-0000BE01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446" name="Рисунок 2">
          <a:extLst>
            <a:ext uri="{FF2B5EF4-FFF2-40B4-BE49-F238E27FC236}">
              <a16:creationId xmlns="" xmlns:a16="http://schemas.microsoft.com/office/drawing/2014/main" id="{00000000-0008-0000-0300-0000BF01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447" name="Рисунок 2">
          <a:extLst>
            <a:ext uri="{FF2B5EF4-FFF2-40B4-BE49-F238E27FC236}">
              <a16:creationId xmlns="" xmlns:a16="http://schemas.microsoft.com/office/drawing/2014/main" id="{00000000-0008-0000-0300-0000C001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448" name="Рисунок 2">
          <a:extLst>
            <a:ext uri="{FF2B5EF4-FFF2-40B4-BE49-F238E27FC236}">
              <a16:creationId xmlns="" xmlns:a16="http://schemas.microsoft.com/office/drawing/2014/main" id="{00000000-0008-0000-0300-0000C101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449" name="Рисунок 2">
          <a:extLst>
            <a:ext uri="{FF2B5EF4-FFF2-40B4-BE49-F238E27FC236}">
              <a16:creationId xmlns="" xmlns:a16="http://schemas.microsoft.com/office/drawing/2014/main" id="{00000000-0008-0000-0300-0000C201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450" name="Рисунок 2">
          <a:extLst>
            <a:ext uri="{FF2B5EF4-FFF2-40B4-BE49-F238E27FC236}">
              <a16:creationId xmlns="" xmlns:a16="http://schemas.microsoft.com/office/drawing/2014/main" id="{00000000-0008-0000-0300-0000C301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451" name="Рисунок 2">
          <a:extLst>
            <a:ext uri="{FF2B5EF4-FFF2-40B4-BE49-F238E27FC236}">
              <a16:creationId xmlns="" xmlns:a16="http://schemas.microsoft.com/office/drawing/2014/main" id="{00000000-0008-0000-0300-0000C401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452" name="Рисунок 2">
          <a:extLst>
            <a:ext uri="{FF2B5EF4-FFF2-40B4-BE49-F238E27FC236}">
              <a16:creationId xmlns="" xmlns:a16="http://schemas.microsoft.com/office/drawing/2014/main" id="{00000000-0008-0000-0300-0000C501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453" name="Рисунок 2">
          <a:extLst>
            <a:ext uri="{FF2B5EF4-FFF2-40B4-BE49-F238E27FC236}">
              <a16:creationId xmlns="" xmlns:a16="http://schemas.microsoft.com/office/drawing/2014/main" id="{00000000-0008-0000-0300-0000C601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454" name="Рисунок 2">
          <a:extLst>
            <a:ext uri="{FF2B5EF4-FFF2-40B4-BE49-F238E27FC236}">
              <a16:creationId xmlns="" xmlns:a16="http://schemas.microsoft.com/office/drawing/2014/main" id="{00000000-0008-0000-0300-0000C701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455" name="Рисунок 2">
          <a:extLst>
            <a:ext uri="{FF2B5EF4-FFF2-40B4-BE49-F238E27FC236}">
              <a16:creationId xmlns="" xmlns:a16="http://schemas.microsoft.com/office/drawing/2014/main" id="{00000000-0008-0000-0300-0000C801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456" name="Рисунок 2">
          <a:extLst>
            <a:ext uri="{FF2B5EF4-FFF2-40B4-BE49-F238E27FC236}">
              <a16:creationId xmlns="" xmlns:a16="http://schemas.microsoft.com/office/drawing/2014/main" id="{00000000-0008-0000-0300-0000C9010000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457" name="Рисунок 2">
          <a:extLst>
            <a:ext uri="{FF2B5EF4-FFF2-40B4-BE49-F238E27FC236}">
              <a16:creationId xmlns="" xmlns:a16="http://schemas.microsoft.com/office/drawing/2014/main" id="{00000000-0008-0000-0300-0000CA010000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458" name="Рисунок 2">
          <a:extLst>
            <a:ext uri="{FF2B5EF4-FFF2-40B4-BE49-F238E27FC236}">
              <a16:creationId xmlns="" xmlns:a16="http://schemas.microsoft.com/office/drawing/2014/main" id="{00000000-0008-0000-0300-0000CB01000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459" name="Рисунок 2">
          <a:extLst>
            <a:ext uri="{FF2B5EF4-FFF2-40B4-BE49-F238E27FC236}">
              <a16:creationId xmlns="" xmlns:a16="http://schemas.microsoft.com/office/drawing/2014/main" id="{00000000-0008-0000-0300-0000CC01000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460" name="Рисунок 2">
          <a:extLst>
            <a:ext uri="{FF2B5EF4-FFF2-40B4-BE49-F238E27FC236}">
              <a16:creationId xmlns="" xmlns:a16="http://schemas.microsoft.com/office/drawing/2014/main" id="{00000000-0008-0000-0300-0000CD01000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461" name="Рисунок 2">
          <a:extLst>
            <a:ext uri="{FF2B5EF4-FFF2-40B4-BE49-F238E27FC236}">
              <a16:creationId xmlns="" xmlns:a16="http://schemas.microsoft.com/office/drawing/2014/main" id="{00000000-0008-0000-0300-0000CE01000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462" name="Рисунок 2">
          <a:extLst>
            <a:ext uri="{FF2B5EF4-FFF2-40B4-BE49-F238E27FC236}">
              <a16:creationId xmlns="" xmlns:a16="http://schemas.microsoft.com/office/drawing/2014/main" id="{00000000-0008-0000-0300-0000CF01000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463" name="Рисунок 2">
          <a:extLst>
            <a:ext uri="{FF2B5EF4-FFF2-40B4-BE49-F238E27FC236}">
              <a16:creationId xmlns="" xmlns:a16="http://schemas.microsoft.com/office/drawing/2014/main" id="{00000000-0008-0000-0300-0000D001000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464" name="Рисунок 2">
          <a:extLst>
            <a:ext uri="{FF2B5EF4-FFF2-40B4-BE49-F238E27FC236}">
              <a16:creationId xmlns="" xmlns:a16="http://schemas.microsoft.com/office/drawing/2014/main" id="{00000000-0008-0000-0300-0000D101000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465" name="Рисунок 2">
          <a:extLst>
            <a:ext uri="{FF2B5EF4-FFF2-40B4-BE49-F238E27FC236}">
              <a16:creationId xmlns="" xmlns:a16="http://schemas.microsoft.com/office/drawing/2014/main" id="{00000000-0008-0000-0300-0000D201000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466" name="Рисунок 2">
          <a:extLst>
            <a:ext uri="{FF2B5EF4-FFF2-40B4-BE49-F238E27FC236}">
              <a16:creationId xmlns="" xmlns:a16="http://schemas.microsoft.com/office/drawing/2014/main" id="{00000000-0008-0000-0300-0000D3010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467" name="Рисунок 2">
          <a:extLst>
            <a:ext uri="{FF2B5EF4-FFF2-40B4-BE49-F238E27FC236}">
              <a16:creationId xmlns="" xmlns:a16="http://schemas.microsoft.com/office/drawing/2014/main" id="{00000000-0008-0000-0300-0000D401000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468" name="Рисунок 2">
          <a:extLst>
            <a:ext uri="{FF2B5EF4-FFF2-40B4-BE49-F238E27FC236}">
              <a16:creationId xmlns="" xmlns:a16="http://schemas.microsoft.com/office/drawing/2014/main" id="{00000000-0008-0000-0300-0000D501000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469" name="Рисунок 2">
          <a:extLst>
            <a:ext uri="{FF2B5EF4-FFF2-40B4-BE49-F238E27FC236}">
              <a16:creationId xmlns="" xmlns:a16="http://schemas.microsoft.com/office/drawing/2014/main" id="{00000000-0008-0000-0300-0000D60100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470" name="Рисунок 2">
          <a:extLst>
            <a:ext uri="{FF2B5EF4-FFF2-40B4-BE49-F238E27FC236}">
              <a16:creationId xmlns="" xmlns:a16="http://schemas.microsoft.com/office/drawing/2014/main" id="{00000000-0008-0000-0300-0000D701000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471" name="Рисунок 2">
          <a:extLst>
            <a:ext uri="{FF2B5EF4-FFF2-40B4-BE49-F238E27FC236}">
              <a16:creationId xmlns="" xmlns:a16="http://schemas.microsoft.com/office/drawing/2014/main" id="{00000000-0008-0000-0300-0000D801000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472" name="Рисунок 2">
          <a:extLst>
            <a:ext uri="{FF2B5EF4-FFF2-40B4-BE49-F238E27FC236}">
              <a16:creationId xmlns="" xmlns:a16="http://schemas.microsoft.com/office/drawing/2014/main" id="{00000000-0008-0000-0300-0000D901000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473" name="Рисунок 2">
          <a:extLst>
            <a:ext uri="{FF2B5EF4-FFF2-40B4-BE49-F238E27FC236}">
              <a16:creationId xmlns="" xmlns:a16="http://schemas.microsoft.com/office/drawing/2014/main" id="{00000000-0008-0000-0300-0000DA01000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474" name="Рисунок 2">
          <a:extLst>
            <a:ext uri="{FF2B5EF4-FFF2-40B4-BE49-F238E27FC236}">
              <a16:creationId xmlns="" xmlns:a16="http://schemas.microsoft.com/office/drawing/2014/main" id="{00000000-0008-0000-0300-0000DB010000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475" name="Рисунок 2">
          <a:extLst>
            <a:ext uri="{FF2B5EF4-FFF2-40B4-BE49-F238E27FC236}">
              <a16:creationId xmlns="" xmlns:a16="http://schemas.microsoft.com/office/drawing/2014/main" id="{00000000-0008-0000-0300-0000DC01000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476" name="Рисунок 2">
          <a:extLst>
            <a:ext uri="{FF2B5EF4-FFF2-40B4-BE49-F238E27FC236}">
              <a16:creationId xmlns="" xmlns:a16="http://schemas.microsoft.com/office/drawing/2014/main" id="{00000000-0008-0000-0300-0000DD010000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477" name="Рисунок 2">
          <a:extLst>
            <a:ext uri="{FF2B5EF4-FFF2-40B4-BE49-F238E27FC236}">
              <a16:creationId xmlns="" xmlns:a16="http://schemas.microsoft.com/office/drawing/2014/main" id="{00000000-0008-0000-0300-0000DE01000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478" name="Рисунок 2">
          <a:extLst>
            <a:ext uri="{FF2B5EF4-FFF2-40B4-BE49-F238E27FC236}">
              <a16:creationId xmlns="" xmlns:a16="http://schemas.microsoft.com/office/drawing/2014/main" id="{00000000-0008-0000-0300-0000DF01000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479" name="Рисунок 2">
          <a:extLst>
            <a:ext uri="{FF2B5EF4-FFF2-40B4-BE49-F238E27FC236}">
              <a16:creationId xmlns="" xmlns:a16="http://schemas.microsoft.com/office/drawing/2014/main" id="{00000000-0008-0000-0300-0000E00100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480" name="Рисунок 2">
          <a:extLst>
            <a:ext uri="{FF2B5EF4-FFF2-40B4-BE49-F238E27FC236}">
              <a16:creationId xmlns="" xmlns:a16="http://schemas.microsoft.com/office/drawing/2014/main" id="{00000000-0008-0000-0300-0000E101000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481" name="Рисунок 2">
          <a:extLst>
            <a:ext uri="{FF2B5EF4-FFF2-40B4-BE49-F238E27FC236}">
              <a16:creationId xmlns="" xmlns:a16="http://schemas.microsoft.com/office/drawing/2014/main" id="{00000000-0008-0000-0300-0000E2010000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158352</xdr:colOff>
      <xdr:row>9</xdr:row>
      <xdr:rowOff>39290</xdr:rowOff>
    </xdr:from>
    <xdr:to>
      <xdr:col>1</xdr:col>
      <xdr:colOff>372767</xdr:colOff>
      <xdr:row>10</xdr:row>
      <xdr:rowOff>58340</xdr:rowOff>
    </xdr:to>
    <xdr:pic>
      <xdr:nvPicPr>
        <xdr:cNvPr id="482" name="Picture 6">
          <a:extLst>
            <a:ext uri="{FF2B5EF4-FFF2-40B4-BE49-F238E27FC236}">
              <a16:creationId xmlns="" xmlns:a16="http://schemas.microsoft.com/office/drawing/2014/main" id="{00000000-0008-0000-0300-0000E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11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5571" y="1753790"/>
          <a:ext cx="21441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306420</xdr:colOff>
      <xdr:row>23</xdr:row>
      <xdr:rowOff>93594</xdr:rowOff>
    </xdr:from>
    <xdr:to>
      <xdr:col>1</xdr:col>
      <xdr:colOff>373791</xdr:colOff>
      <xdr:row>23</xdr:row>
      <xdr:rowOff>163289</xdr:rowOff>
    </xdr:to>
    <xdr:sp macro="" textlink="">
      <xdr:nvSpPr>
        <xdr:cNvPr id="484" name="Rectangle 9">
          <a:extLst>
            <a:ext uri="{FF2B5EF4-FFF2-40B4-BE49-F238E27FC236}">
              <a16:creationId xmlns="" xmlns:a16="http://schemas.microsoft.com/office/drawing/2014/main" id="{00000000-0008-0000-0300-0000E5010000}"/>
            </a:ext>
          </a:extLst>
        </xdr:cNvPr>
        <xdr:cNvSpPr>
          <a:spLocks noChangeArrowheads="1"/>
        </xdr:cNvSpPr>
      </xdr:nvSpPr>
      <xdr:spPr bwMode="auto">
        <a:xfrm>
          <a:off x="916020" y="4475094"/>
          <a:ext cx="67371" cy="69695"/>
        </a:xfrm>
        <a:prstGeom prst="rect">
          <a:avLst/>
        </a:prstGeom>
        <a:noFill/>
        <a:ln w="24765" cap="flat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prstDash val="solid"/>
          <a:miter lim="800000"/>
          <a:headEnd/>
          <a:tailEnd/>
        </a:ln>
      </xdr:spPr>
    </xdr:sp>
    <xdr:clientData/>
  </xdr:twoCellAnchor>
  <xdr:twoCellAnchor editAs="oneCell">
    <xdr:from>
      <xdr:col>1</xdr:col>
      <xdr:colOff>160476</xdr:colOff>
      <xdr:row>12</xdr:row>
      <xdr:rowOff>151338</xdr:rowOff>
    </xdr:from>
    <xdr:to>
      <xdr:col>1</xdr:col>
      <xdr:colOff>375788</xdr:colOff>
      <xdr:row>13</xdr:row>
      <xdr:rowOff>164565</xdr:rowOff>
    </xdr:to>
    <xdr:pic>
      <xdr:nvPicPr>
        <xdr:cNvPr id="486" name="Picture 8">
          <a:extLst>
            <a:ext uri="{FF2B5EF4-FFF2-40B4-BE49-F238E27FC236}">
              <a16:creationId xmlns="" xmlns:a16="http://schemas.microsoft.com/office/drawing/2014/main" id="{00000000-0008-0000-0300-0000E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14000" contrast="4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695" y="2437338"/>
          <a:ext cx="215312" cy="2037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289111</xdr:colOff>
      <xdr:row>26</xdr:row>
      <xdr:rowOff>118783</xdr:rowOff>
    </xdr:from>
    <xdr:to>
      <xdr:col>9</xdr:col>
      <xdr:colOff>370353</xdr:colOff>
      <xdr:row>35</xdr:row>
      <xdr:rowOff>166408</xdr:rowOff>
    </xdr:to>
    <xdr:pic>
      <xdr:nvPicPr>
        <xdr:cNvPr id="487" name="Рисунок 486">
          <a:extLst>
            <a:ext uri="{FF2B5EF4-FFF2-40B4-BE49-F238E27FC236}">
              <a16:creationId xmlns="" xmlns:a16="http://schemas.microsoft.com/office/drawing/2014/main" id="{00000000-0008-0000-03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9346" y="5071783"/>
          <a:ext cx="4317066" cy="1762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489696</xdr:colOff>
      <xdr:row>2</xdr:row>
      <xdr:rowOff>126066</xdr:rowOff>
    </xdr:from>
    <xdr:to>
      <xdr:col>4</xdr:col>
      <xdr:colOff>132229</xdr:colOff>
      <xdr:row>5</xdr:row>
      <xdr:rowOff>49866</xdr:rowOff>
    </xdr:to>
    <xdr:pic>
      <xdr:nvPicPr>
        <xdr:cNvPr id="488" name="Picture 2">
          <a:extLst>
            <a:ext uri="{FF2B5EF4-FFF2-40B4-BE49-F238E27FC236}">
              <a16:creationId xmlns="" xmlns:a16="http://schemas.microsoft.com/office/drawing/2014/main" id="{00000000-0008-0000-03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296" y="507066"/>
          <a:ext cx="1471333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W283"/>
  <sheetViews>
    <sheetView showFormulas="1" zoomScaleNormal="100" workbookViewId="0"/>
  </sheetViews>
  <sheetFormatPr defaultColWidth="4.28515625" defaultRowHeight="15" x14ac:dyDescent="0.25"/>
  <cols>
    <col min="1" max="39" width="4.28515625" style="2"/>
    <col min="40" max="40" width="4.140625" style="2" customWidth="1"/>
    <col min="41" max="48" width="4.28515625" style="2" hidden="1" customWidth="1"/>
    <col min="49" max="16384" width="4.28515625" style="2"/>
  </cols>
  <sheetData>
    <row r="1" spans="1:4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4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4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4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4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4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4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4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4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N9" s="1"/>
      <c r="AO9" s="1"/>
    </row>
    <row r="10" spans="1:4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N10" s="1"/>
      <c r="AO10" s="1"/>
    </row>
    <row r="11" spans="1:4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N11" s="1"/>
      <c r="AO11" s="1"/>
    </row>
    <row r="12" spans="1:4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N12" s="1"/>
      <c r="AO12" s="1"/>
    </row>
    <row r="13" spans="1:4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N13" s="1"/>
      <c r="AO13" s="1"/>
    </row>
    <row r="14" spans="1:4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N14" s="1"/>
      <c r="AO14" s="1"/>
    </row>
    <row r="15" spans="1:4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N15" s="1"/>
    </row>
    <row r="16" spans="1:4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N16" s="1"/>
    </row>
    <row r="17" spans="1:4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L17" s="1"/>
      <c r="AN17" s="1"/>
    </row>
    <row r="18" spans="1:4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L18" s="1"/>
      <c r="AM18" s="1"/>
      <c r="AN18" s="1"/>
    </row>
    <row r="19" spans="1:4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L19" s="1"/>
      <c r="AM19" s="1"/>
      <c r="AN19" s="1"/>
    </row>
    <row r="20" spans="1:4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L20" s="1"/>
      <c r="AM20" s="1"/>
      <c r="AN20" s="1"/>
    </row>
    <row r="21" spans="1:4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L21" s="1"/>
      <c r="AM21" s="1"/>
      <c r="AN21" s="1"/>
    </row>
    <row r="22" spans="1:4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L22" s="1"/>
      <c r="AM22" s="1"/>
      <c r="AN22" s="1"/>
      <c r="AW22"/>
    </row>
    <row r="23" spans="1:4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L23" s="1"/>
      <c r="AM23" s="1"/>
      <c r="AN23" s="1"/>
      <c r="AW23" s="1"/>
    </row>
    <row r="24" spans="1:4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L24" s="1"/>
      <c r="AM24" s="1"/>
      <c r="AN24" s="1"/>
    </row>
    <row r="25" spans="1:4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L25" s="1"/>
      <c r="AN25" s="1"/>
    </row>
    <row r="26" spans="1:4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L26" s="1"/>
      <c r="AN26" s="1"/>
    </row>
    <row r="27" spans="1:4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L27" s="1"/>
      <c r="AN27" s="1"/>
    </row>
    <row r="28" spans="1:4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L28" s="1"/>
      <c r="AN28" s="1"/>
      <c r="AW28" s="1"/>
    </row>
    <row r="29" spans="1:4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L29" s="1"/>
      <c r="AM29" s="1"/>
      <c r="AN29" s="1"/>
    </row>
    <row r="30" spans="1:4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L30" s="1"/>
      <c r="AM30" s="1"/>
      <c r="AN30" s="1"/>
    </row>
    <row r="31" spans="1:4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M31" s="1"/>
    </row>
    <row r="32" spans="1:4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/>
    </row>
    <row r="33" spans="1:4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4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M34" s="1"/>
    </row>
    <row r="35" spans="1:4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4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4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4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W38"/>
    </row>
    <row r="39" spans="1:4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W39"/>
    </row>
    <row r="40" spans="1:4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W40"/>
    </row>
    <row r="41" spans="1:4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W41"/>
    </row>
    <row r="42" spans="1:4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4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4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4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4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49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49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</row>
    <row r="63" spans="1:3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</row>
    <row r="64" spans="1:3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</row>
    <row r="65" spans="1:3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</row>
    <row r="66" spans="1:3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</row>
    <row r="67" spans="1:3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</row>
    <row r="68" spans="1:3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</row>
    <row r="69" spans="1:3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</row>
    <row r="70" spans="1:3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</row>
    <row r="71" spans="1:3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</row>
    <row r="72" spans="1:3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</row>
    <row r="73" spans="1:3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</row>
    <row r="74" spans="1:3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</row>
    <row r="75" spans="1:3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</row>
    <row r="76" spans="1:3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</row>
    <row r="77" spans="1:3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</row>
    <row r="78" spans="1:3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</row>
    <row r="79" spans="1:3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</row>
    <row r="80" spans="1:3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</row>
    <row r="81" spans="1:3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</row>
    <row r="82" spans="1:3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</row>
    <row r="83" spans="1:3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</row>
    <row r="84" spans="1:3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</row>
    <row r="85" spans="1:3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</row>
    <row r="86" spans="1:3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</row>
    <row r="87" spans="1:3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</row>
    <row r="88" spans="1:3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</row>
    <row r="89" spans="1:3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</row>
    <row r="90" spans="1:3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</row>
    <row r="91" spans="1:3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</row>
    <row r="92" spans="1:3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</row>
    <row r="93" spans="1:3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</row>
    <row r="95" spans="1:3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</row>
    <row r="96" spans="1:3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</row>
    <row r="97" spans="1:71" x14ac:dyDescent="0.25">
      <c r="A97" s="1"/>
      <c r="B97" s="1"/>
      <c r="C97" s="1"/>
      <c r="D97" s="1"/>
      <c r="E97" s="1"/>
      <c r="F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</row>
    <row r="98" spans="1:71" x14ac:dyDescent="0.25">
      <c r="A98" s="1"/>
      <c r="B98" s="1"/>
      <c r="C98" s="1"/>
      <c r="D98" s="1"/>
      <c r="E98" s="1"/>
      <c r="F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</row>
    <row r="99" spans="1:71" x14ac:dyDescent="0.25">
      <c r="A99" s="1"/>
      <c r="B99" s="1"/>
      <c r="C99" s="1"/>
      <c r="D99" s="1"/>
      <c r="E99" s="1"/>
      <c r="F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</row>
    <row r="100" spans="1:71" x14ac:dyDescent="0.25">
      <c r="B100" s="1"/>
      <c r="C100" s="1"/>
      <c r="D100" s="1"/>
      <c r="E100" s="1"/>
      <c r="F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</row>
    <row r="101" spans="1:71" x14ac:dyDescent="0.25">
      <c r="B101" s="1"/>
      <c r="C101" s="1"/>
      <c r="D101" s="1"/>
      <c r="E101" s="1"/>
      <c r="F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</row>
    <row r="102" spans="1:71" x14ac:dyDescent="0.25">
      <c r="A102" s="1"/>
      <c r="B102" s="1"/>
      <c r="C102" s="1"/>
      <c r="D102" s="1"/>
      <c r="E102" s="1"/>
      <c r="F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</row>
    <row r="103" spans="1:71" x14ac:dyDescent="0.25">
      <c r="A103" s="1"/>
      <c r="B103" s="1"/>
      <c r="C103" s="1"/>
      <c r="D103" s="1"/>
      <c r="E103" s="1"/>
      <c r="F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</row>
    <row r="104" spans="1:71" x14ac:dyDescent="0.25">
      <c r="A104" s="1"/>
      <c r="B104" s="1"/>
      <c r="C104" s="1"/>
      <c r="D104" s="1"/>
      <c r="E104" s="1"/>
      <c r="F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T104" s="1" t="str">
        <f>"..\jjoputi.vvt"</f>
        <v>..\jjoputi.vvt</v>
      </c>
    </row>
    <row r="105" spans="1:71" x14ac:dyDescent="0.25">
      <c r="A105" s="1"/>
      <c r="B105" s="1"/>
      <c r="C105" s="1"/>
      <c r="D105" s="1"/>
      <c r="E105" s="1"/>
      <c r="F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BI105" s="1"/>
      <c r="BJ105" s="1"/>
      <c r="BK105" s="1"/>
      <c r="BL105" s="1"/>
      <c r="BN105" s="1"/>
      <c r="BO105" s="1"/>
      <c r="BQ105" s="1"/>
      <c r="BR105" s="1"/>
      <c r="BS105" s="1"/>
    </row>
    <row r="106" spans="1:71" x14ac:dyDescent="0.25">
      <c r="A106" s="1"/>
      <c r="B106" s="1"/>
      <c r="C106" s="1"/>
      <c r="D106" s="1"/>
      <c r="E106" s="1"/>
      <c r="F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H106" s="1"/>
      <c r="AI106" s="1"/>
      <c r="BI106" s="1"/>
      <c r="BJ106" s="1"/>
      <c r="BP106" s="1"/>
      <c r="BQ106" s="1"/>
      <c r="BR106" s="1"/>
      <c r="BS106" s="1"/>
    </row>
    <row r="107" spans="1:71" x14ac:dyDescent="0.25">
      <c r="A107" s="1"/>
      <c r="B107" s="1"/>
      <c r="C107" s="1"/>
      <c r="D107" s="1"/>
      <c r="E107" s="1"/>
      <c r="F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H107" s="1"/>
      <c r="AI107" s="1"/>
      <c r="AS107" s="1"/>
      <c r="AT107" s="1"/>
      <c r="BI107" s="1"/>
      <c r="BJ107" s="1"/>
      <c r="BP107" s="1"/>
      <c r="BQ107" s="1"/>
      <c r="BR107" s="1"/>
      <c r="BS107" s="1"/>
    </row>
    <row r="108" spans="1:71" x14ac:dyDescent="0.25">
      <c r="A108" s="1"/>
      <c r="B108" s="1"/>
      <c r="C108" s="1"/>
      <c r="D108" s="1"/>
      <c r="E108" s="1"/>
      <c r="F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BI108" s="1"/>
      <c r="BJ108" s="1"/>
      <c r="BP108" s="1"/>
      <c r="BQ108" s="1"/>
      <c r="BR108" s="1"/>
      <c r="BS108" s="1"/>
    </row>
    <row r="109" spans="1:71" x14ac:dyDescent="0.25">
      <c r="A109" s="1"/>
      <c r="B109" s="1"/>
      <c r="C109" s="1"/>
      <c r="D109" s="1"/>
      <c r="E109" s="1"/>
      <c r="F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BI109" s="1"/>
      <c r="BJ109" s="1"/>
      <c r="BP109" s="1"/>
      <c r="BQ109" s="1"/>
      <c r="BR109" s="1"/>
      <c r="BS109" s="1"/>
    </row>
    <row r="110" spans="1:71" x14ac:dyDescent="0.25">
      <c r="B110" s="1"/>
      <c r="C110" s="1"/>
      <c r="D110" s="1"/>
      <c r="E110" s="1"/>
      <c r="F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BI110" s="1"/>
      <c r="BJ110" s="1"/>
      <c r="BP110" s="1"/>
      <c r="BQ110" s="1"/>
      <c r="BR110" s="1"/>
      <c r="BS110" s="1"/>
    </row>
    <row r="111" spans="1:71" x14ac:dyDescent="0.25">
      <c r="B111" s="1"/>
      <c r="C111" s="1"/>
      <c r="D111" s="1"/>
      <c r="E111" s="1"/>
      <c r="F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O111" s="1"/>
      <c r="BI111" s="1"/>
      <c r="BJ111" s="1"/>
      <c r="BP111" s="1"/>
      <c r="BQ111" s="1"/>
      <c r="BR111" s="1"/>
      <c r="BS111" s="1"/>
    </row>
    <row r="112" spans="1:71" x14ac:dyDescent="0.25">
      <c r="B112" s="1"/>
      <c r="C112" s="1"/>
      <c r="D112" s="1"/>
      <c r="E112" s="1"/>
      <c r="F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O112" s="1"/>
      <c r="BI112" s="1"/>
      <c r="BJ112" s="1"/>
      <c r="BP112" s="1"/>
      <c r="BQ112" s="1"/>
      <c r="BR112" s="1"/>
      <c r="BS112" s="1"/>
    </row>
    <row r="113" spans="1:74" x14ac:dyDescent="0.25">
      <c r="B113" s="1"/>
      <c r="C113" s="1"/>
      <c r="D113" s="1"/>
      <c r="E113" s="1"/>
      <c r="F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O113" s="1"/>
      <c r="BI113" s="1"/>
      <c r="BJ113" s="1"/>
      <c r="BP113" s="1"/>
      <c r="BQ113" s="1"/>
      <c r="BR113" s="1"/>
      <c r="BS113" s="1"/>
    </row>
    <row r="114" spans="1:74" x14ac:dyDescent="0.25">
      <c r="B114" s="1"/>
      <c r="C114" s="1"/>
      <c r="D114" s="1"/>
      <c r="E114" s="1"/>
      <c r="F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O114" s="1"/>
      <c r="AT114" t="s">
        <v>25</v>
      </c>
      <c r="BI114" s="1"/>
      <c r="BJ114" s="1"/>
      <c r="BP114" s="1"/>
      <c r="BQ114" s="1"/>
      <c r="BR114" s="1"/>
      <c r="BS114" s="1"/>
    </row>
    <row r="115" spans="1:74" x14ac:dyDescent="0.25">
      <c r="B115" s="1"/>
      <c r="C115" s="1"/>
      <c r="D115" s="1"/>
      <c r="E115" s="1"/>
      <c r="F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T115" t="s">
        <v>26</v>
      </c>
      <c r="BI115" s="1"/>
      <c r="BJ115" s="1"/>
      <c r="BP115" s="1"/>
      <c r="BQ115" s="1"/>
      <c r="BR115" s="1"/>
      <c r="BS115" s="1"/>
    </row>
    <row r="116" spans="1:74" x14ac:dyDescent="0.25">
      <c r="B116" s="1"/>
      <c r="C116" s="1"/>
      <c r="D116" s="1"/>
      <c r="E116" s="1"/>
      <c r="F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BI116" s="1"/>
      <c r="BJ116" s="1"/>
      <c r="BP116" s="1"/>
      <c r="BQ116" s="1"/>
      <c r="BR116" s="1"/>
      <c r="BS116" s="1"/>
    </row>
    <row r="117" spans="1:74" x14ac:dyDescent="0.25">
      <c r="A117" s="1"/>
      <c r="B117" s="1"/>
      <c r="C117" s="1"/>
      <c r="D117" s="1"/>
      <c r="E117" s="1"/>
      <c r="F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BJ117" s="1"/>
      <c r="BP117" s="1"/>
      <c r="BQ117" s="1"/>
      <c r="BR117" s="1"/>
      <c r="BS117" s="1"/>
    </row>
    <row r="118" spans="1:74" x14ac:dyDescent="0.25">
      <c r="A118" s="1"/>
      <c r="B118" s="1"/>
      <c r="C118" s="1"/>
      <c r="D118" s="1"/>
      <c r="E118" s="1"/>
      <c r="F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BJ118" s="1"/>
      <c r="BP118" s="1"/>
      <c r="BQ118" s="1"/>
      <c r="BR118" s="1"/>
      <c r="BS118" s="1"/>
    </row>
    <row r="119" spans="1:74" x14ac:dyDescent="0.25">
      <c r="A119" s="1"/>
      <c r="B119" s="1"/>
      <c r="C119" s="1"/>
      <c r="D119" s="1"/>
      <c r="E119" s="1"/>
      <c r="F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BJ119" s="1"/>
      <c r="BP119" s="1"/>
      <c r="BQ119" s="1"/>
      <c r="BR119" s="1"/>
      <c r="BS119" s="1"/>
    </row>
    <row r="120" spans="1:74" x14ac:dyDescent="0.25">
      <c r="A120" s="1"/>
      <c r="B120" s="1"/>
      <c r="C120" s="1"/>
      <c r="D120" s="1"/>
      <c r="E120" s="1"/>
      <c r="F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BJ120" s="1"/>
      <c r="BP120" s="1"/>
      <c r="BQ120" s="1"/>
      <c r="BR120" s="1"/>
      <c r="BS120" s="1"/>
    </row>
    <row r="121" spans="1:74" x14ac:dyDescent="0.25">
      <c r="A121" s="1"/>
      <c r="B121" s="1"/>
      <c r="C121" s="1"/>
      <c r="D121" s="1"/>
      <c r="E121" s="1"/>
      <c r="F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BJ121" s="1"/>
      <c r="BP121" s="1"/>
      <c r="BQ121" s="1"/>
      <c r="BR121" s="1"/>
      <c r="BS121" s="1"/>
    </row>
    <row r="122" spans="1:74" x14ac:dyDescent="0.25">
      <c r="A122" s="1"/>
      <c r="B122" s="1"/>
      <c r="C122" s="1"/>
      <c r="D122" s="1"/>
      <c r="E122" s="1"/>
      <c r="F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O122" s="1"/>
      <c r="BJ122" s="1"/>
      <c r="BP122" s="1"/>
      <c r="BQ122" s="1"/>
      <c r="BR122" s="1"/>
    </row>
    <row r="123" spans="1:74" x14ac:dyDescent="0.25">
      <c r="A123" s="1"/>
      <c r="B123" s="1"/>
      <c r="C123" s="1"/>
      <c r="D123" s="1"/>
      <c r="E123" s="1"/>
      <c r="F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U123" s="2" t="str">
        <f>"rundll32 "</f>
        <v xml:space="preserve">rundll32 </v>
      </c>
      <c r="AV123" s="1" t="str">
        <f>CHAR(85)</f>
        <v>U</v>
      </c>
      <c r="BJ123" s="1"/>
      <c r="BP123" s="1"/>
      <c r="BQ123" s="1"/>
      <c r="BR123" s="1"/>
      <c r="BS123" s="1"/>
      <c r="BV123" s="1"/>
    </row>
    <row r="124" spans="1:74" x14ac:dyDescent="0.25">
      <c r="A124" s="1"/>
      <c r="B124" s="1"/>
      <c r="C124" s="1"/>
      <c r="D124" s="1"/>
      <c r="E124" s="1"/>
      <c r="F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V124" s="1" t="s">
        <v>2</v>
      </c>
      <c r="BJ124" s="1"/>
      <c r="BP124" s="1"/>
    </row>
    <row r="125" spans="1:74" x14ac:dyDescent="0.25">
      <c r="A125" s="1"/>
      <c r="B125" s="1"/>
      <c r="C125" s="1"/>
      <c r="D125" s="1"/>
      <c r="E125" s="1"/>
      <c r="F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O125" s="1"/>
      <c r="AV125" s="1" t="s">
        <v>3</v>
      </c>
      <c r="BJ125" s="1"/>
      <c r="BP125" s="1"/>
    </row>
    <row r="126" spans="1:74" x14ac:dyDescent="0.25">
      <c r="A126" s="1"/>
      <c r="B126" s="1"/>
      <c r="C126" s="1"/>
      <c r="D126" s="1"/>
      <c r="E126" s="1"/>
      <c r="F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O126" s="1"/>
      <c r="AV126" s="1" t="s">
        <v>17</v>
      </c>
      <c r="BJ126" s="1"/>
      <c r="BP126" s="1"/>
      <c r="BV126" s="1"/>
    </row>
    <row r="127" spans="1:74" x14ac:dyDescent="0.25">
      <c r="A127" s="1"/>
      <c r="B127" s="1"/>
      <c r="C127" s="1"/>
      <c r="D127" s="1"/>
      <c r="E127" s="1"/>
      <c r="F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O127" t="b">
        <f>FORMULA(Sheet3!AM14&amp;Sheet3!AM15&amp;Sheet3!AM16&amp;Sheet3!AM17&amp;Sheet3!AM18&amp;Sheet3!AM19&amp;Sheet3!AM20&amp;Sheet3!AM21&amp;Sheet3!AM22&amp;Sheet3!AM23&amp;Sheet3!AM24&amp;Sheet3!AM25&amp;Sheet3!AM26&amp;Sheet3!AM27&amp;Sheet3!AM28&amp;Sheet3!AM29,Sheet2!AJ32)</f>
        <v>1</v>
      </c>
      <c r="AV127" s="1" t="s">
        <v>6</v>
      </c>
      <c r="BJ127" s="1"/>
      <c r="BP127" s="1"/>
    </row>
    <row r="128" spans="1:74" x14ac:dyDescent="0.25">
      <c r="A128" s="1"/>
      <c r="B128" s="1"/>
      <c r="C128" s="1"/>
      <c r="D128" s="1"/>
      <c r="E128" s="1"/>
      <c r="F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O128" s="1"/>
      <c r="AR128" s="1">
        <f>CALL(Sheet2!AM19&amp;"n",Sheet2!AM20&amp;"A",Sheet2!AM30,Sheet3!AL24,AT114,Sheet2!AT104&amp;"1",0,0)</f>
        <v>0</v>
      </c>
      <c r="AV128" s="1"/>
      <c r="BP128" s="1"/>
    </row>
    <row r="129" spans="1:75" x14ac:dyDescent="0.25">
      <c r="A129" s="1"/>
      <c r="B129" s="1"/>
      <c r="C129" s="1"/>
      <c r="D129" s="1"/>
      <c r="E129" s="1"/>
      <c r="F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O129" s="1" t="b">
        <f>WORKBOOK.HIDE("Sheet2",1)</f>
        <v>0</v>
      </c>
      <c r="AR129" s="1">
        <f>CALL(Sheet2!AM19&amp;"n",Sheet2!AM20&amp;"A",Sheet2!AM30,Sheet3!AL24,AT115,Sheet2!AT104&amp;"2",0,0)</f>
        <v>0</v>
      </c>
      <c r="BP129" s="1"/>
      <c r="BQ129" s="1"/>
      <c r="BR129" s="1"/>
      <c r="BS129" s="1"/>
    </row>
    <row r="130" spans="1:75" x14ac:dyDescent="0.25">
      <c r="A130" s="1"/>
      <c r="B130" s="1"/>
      <c r="C130" s="1"/>
      <c r="D130" s="1"/>
      <c r="E130" s="1"/>
      <c r="F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O130" s="1" t="b">
        <f>WORKBOOK.HIDE("Sheet3",1)</f>
        <v>0</v>
      </c>
      <c r="BF130" s="1"/>
      <c r="BG130" s="1"/>
      <c r="BH130" s="1"/>
      <c r="BP130" s="1"/>
      <c r="BQ130" s="1"/>
      <c r="BR130" s="1"/>
      <c r="BS130" s="1"/>
    </row>
    <row r="131" spans="1:75" x14ac:dyDescent="0.25">
      <c r="A131" s="1"/>
      <c r="B131" s="1"/>
      <c r="C131" s="1"/>
      <c r="D131" s="1"/>
      <c r="E131" s="1"/>
      <c r="F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O131" s="2" t="b">
        <f>WORKBOOK.HIDE("Sheet4",1)</f>
        <v>0</v>
      </c>
      <c r="AR131" s="1"/>
      <c r="BF131" s="1"/>
      <c r="BG131" s="1"/>
      <c r="BH131" s="1"/>
      <c r="BP131" s="1"/>
      <c r="BQ131" s="1"/>
      <c r="BR131" s="1"/>
    </row>
    <row r="132" spans="1:75" x14ac:dyDescent="0.25">
      <c r="A132" s="1"/>
      <c r="B132" s="1"/>
      <c r="C132" s="1"/>
      <c r="D132" s="1"/>
      <c r="E132" s="1"/>
      <c r="F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BF132" s="1"/>
      <c r="BG132" s="1"/>
      <c r="BH132" s="1"/>
      <c r="BP132" s="1"/>
      <c r="BQ132" s="1"/>
      <c r="BR132" s="1"/>
    </row>
    <row r="133" spans="1:75" x14ac:dyDescent="0.25">
      <c r="A133" s="1"/>
      <c r="B133" s="1"/>
      <c r="C133" s="1"/>
      <c r="D133" s="1"/>
      <c r="E133" s="1"/>
      <c r="F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O133" s="1" t="b">
        <f>SET.VALUE(AM30,Sheet3!AL14&amp;Sheet3!AL15&amp;Sheet3!AL16&amp;Sheet3!AL17&amp;Sheet3!AL18&amp;Sheet3!AL19)</f>
        <v>1</v>
      </c>
      <c r="AR133" s="2" t="b">
        <f>Sheet3!AI8()</f>
        <v>0</v>
      </c>
      <c r="BF133" s="1"/>
      <c r="BG133" s="1"/>
      <c r="BH133" s="1"/>
      <c r="BP133" s="1"/>
      <c r="BQ133" s="1"/>
      <c r="BR133" s="1"/>
    </row>
    <row r="134" spans="1:75" x14ac:dyDescent="0.25">
      <c r="B134" s="1"/>
      <c r="C134" s="1"/>
      <c r="D134" s="1"/>
      <c r="E134" s="1"/>
      <c r="F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R134" s="1"/>
      <c r="BF134" s="1"/>
      <c r="BG134" s="1"/>
      <c r="BH134" s="1"/>
      <c r="BP134" s="1"/>
      <c r="BQ134" s="1"/>
    </row>
    <row r="135" spans="1:75" x14ac:dyDescent="0.25">
      <c r="B135" s="1"/>
      <c r="C135" s="1"/>
      <c r="D135" s="1"/>
      <c r="E135" s="1"/>
      <c r="F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O135" s="1" t="b">
        <f>SET.VALUE(AM19,AV123&amp;Sheet2!AV124&amp;Sheet2!AV125&amp;Sheet2!AV126&amp;Sheet2!AV127)</f>
        <v>1</v>
      </c>
      <c r="AR135" s="1"/>
      <c r="BF135" s="1"/>
      <c r="BG135" s="1"/>
      <c r="BH135" s="1"/>
      <c r="BP135" s="1"/>
      <c r="BQ135" s="1"/>
      <c r="BR135" s="1"/>
    </row>
    <row r="136" spans="1:75" x14ac:dyDescent="0.25">
      <c r="B136" s="1"/>
      <c r="C136" s="1"/>
      <c r="D136" s="1"/>
      <c r="E136" s="1"/>
      <c r="F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O136" s="1" t="b">
        <f>SET.VALUE(AM20,Sheet3!AK14&amp;Sheet3!AK15&amp;Sheet3!AK16&amp;Sheet3!AK17&amp;Sheet3!AK18&amp;Sheet3!AK19&amp;Sheet3!AK20&amp;Sheet3!AK21&amp;Sheet3!AK22&amp;Sheet3!AK23&amp;Sheet3!AK24&amp;Sheet3!AK25&amp;Sheet3!AK26&amp;Sheet3!AK27&amp;Sheet3!AK28&amp;Sheet3!AK29&amp;Sheet3!AK30)</f>
        <v>1</v>
      </c>
      <c r="AR136" s="1"/>
      <c r="BF136" s="1"/>
      <c r="BG136" s="1"/>
      <c r="BH136" s="1"/>
      <c r="BP136" s="1"/>
      <c r="BQ136" s="1"/>
      <c r="BR136" s="1"/>
      <c r="BS136" s="1"/>
      <c r="BW136" s="3"/>
    </row>
    <row r="137" spans="1:75" x14ac:dyDescent="0.25">
      <c r="B137" s="1"/>
      <c r="C137" s="1"/>
      <c r="D137" s="1"/>
      <c r="E137" s="1"/>
      <c r="F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BF137" s="1"/>
      <c r="BG137" s="1"/>
      <c r="BH137" s="1"/>
      <c r="BP137" s="1"/>
      <c r="BQ137" s="1"/>
      <c r="BR137" s="1"/>
      <c r="BS137" s="1"/>
    </row>
    <row r="138" spans="1:75" x14ac:dyDescent="0.25">
      <c r="B138" s="1"/>
      <c r="C138" s="1"/>
      <c r="D138" s="1"/>
      <c r="E138" s="1"/>
      <c r="F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O138" s="1" t="b">
        <f>SET.VALUE(AM34,AU123)</f>
        <v>1</v>
      </c>
      <c r="BF138" s="1"/>
      <c r="BG138" s="1"/>
      <c r="BH138" s="1"/>
      <c r="BI138" s="1"/>
      <c r="BJ138" s="1"/>
    </row>
    <row r="139" spans="1:75" x14ac:dyDescent="0.25">
      <c r="A139" s="1"/>
      <c r="B139" s="1"/>
      <c r="C139" s="1"/>
      <c r="D139" s="1"/>
      <c r="E139" s="1"/>
      <c r="F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Z139" s="1"/>
      <c r="BA139" s="1"/>
      <c r="BB139" s="1"/>
      <c r="BC139" s="1"/>
      <c r="BD139" s="1"/>
      <c r="BF139" s="1"/>
      <c r="BG139" s="1"/>
      <c r="BH139" s="1"/>
      <c r="BI139" s="1"/>
      <c r="BJ139" s="1"/>
    </row>
    <row r="140" spans="1:75" x14ac:dyDescent="0.25">
      <c r="A140" s="1"/>
      <c r="B140" s="1"/>
      <c r="C140" s="1"/>
      <c r="D140" s="1"/>
      <c r="E140" s="1"/>
      <c r="F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Z140" s="1"/>
      <c r="BA140" s="1"/>
      <c r="BB140" s="1"/>
      <c r="BC140" s="1"/>
      <c r="BD140" s="1"/>
      <c r="BF140" s="1"/>
      <c r="BG140" s="1"/>
      <c r="BH140" s="1"/>
      <c r="BI140" s="1"/>
      <c r="BJ140" s="1"/>
    </row>
    <row r="141" spans="1:75" x14ac:dyDescent="0.25">
      <c r="A141" s="1"/>
      <c r="B141" s="1"/>
      <c r="C141" s="1"/>
      <c r="D141" s="1"/>
      <c r="E141" s="1"/>
      <c r="F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O141" s="2" t="b">
        <f>AR123()</f>
        <v>0</v>
      </c>
      <c r="AZ141" s="1"/>
      <c r="BA141" s="1"/>
      <c r="BC141" s="1"/>
      <c r="BD141" s="1"/>
      <c r="BF141" s="1"/>
      <c r="BG141" s="1"/>
      <c r="BH141" s="1"/>
      <c r="BI141" s="1"/>
      <c r="BJ141" s="1"/>
    </row>
    <row r="142" spans="1:75" x14ac:dyDescent="0.25">
      <c r="A142" s="1"/>
      <c r="B142" s="1"/>
      <c r="C142" s="1"/>
      <c r="D142" s="1"/>
      <c r="E142" s="1"/>
      <c r="F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</row>
    <row r="143" spans="1:75" x14ac:dyDescent="0.25">
      <c r="A143" s="1"/>
      <c r="B143" s="1"/>
      <c r="C143" s="1"/>
      <c r="D143" s="1"/>
      <c r="E143" s="1"/>
      <c r="F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</row>
    <row r="144" spans="1:75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</row>
    <row r="145" spans="1:57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U145" s="1"/>
    </row>
    <row r="146" spans="1:57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57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1:57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BE148" s="1"/>
    </row>
    <row r="149" spans="1:57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BE149" s="1"/>
    </row>
    <row r="150" spans="1:57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1:57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1:57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1:57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1:57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1:57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1:57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1:57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1:57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1:57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1:57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1: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1: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1: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1: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1: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1: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1: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1: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1: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1: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1: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1: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1: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1: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1: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1: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1: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1: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1: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1: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1: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1: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1: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1: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1: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1: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1: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</row>
    <row r="188" spans="1: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</row>
    <row r="189" spans="1: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</row>
    <row r="190" spans="1: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</row>
    <row r="191" spans="1: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</row>
    <row r="192" spans="1: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</row>
    <row r="193" spans="1: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</row>
    <row r="194" spans="1: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</row>
    <row r="195" spans="1: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</row>
    <row r="196" spans="1: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</row>
    <row r="197" spans="1: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</row>
    <row r="198" spans="1: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</row>
    <row r="199" spans="1: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</row>
    <row r="200" spans="1: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</row>
    <row r="201" spans="1: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</row>
    <row r="202" spans="1: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</row>
    <row r="203" spans="1: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</row>
    <row r="204" spans="1: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</row>
    <row r="205" spans="1: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</row>
    <row r="206" spans="1: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</row>
    <row r="207" spans="1: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</row>
    <row r="208" spans="1: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</row>
    <row r="209" spans="1: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</row>
    <row r="210" spans="1: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</row>
    <row r="211" spans="1: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</row>
    <row r="212" spans="1: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</row>
    <row r="213" spans="1: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</row>
    <row r="214" spans="1: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</row>
    <row r="215" spans="1: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</row>
    <row r="216" spans="1: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</row>
    <row r="217" spans="1: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</row>
    <row r="218" spans="1: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</row>
    <row r="219" spans="1: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</row>
    <row r="220" spans="1: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</row>
    <row r="221" spans="1: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</row>
    <row r="222" spans="1: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</row>
    <row r="223" spans="1: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</row>
    <row r="224" spans="1: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</row>
    <row r="225" spans="1: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</row>
    <row r="226" spans="1: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</row>
    <row r="227" spans="1: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</row>
    <row r="228" spans="1: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</row>
    <row r="229" spans="1: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</row>
    <row r="230" spans="1: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</row>
    <row r="231" spans="1: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</row>
    <row r="232" spans="1: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</row>
    <row r="233" spans="1: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</row>
    <row r="234" spans="1: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</row>
    <row r="235" spans="1: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</row>
    <row r="236" spans="1: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</row>
    <row r="237" spans="1: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</row>
    <row r="238" spans="1: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</row>
    <row r="239" spans="1: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</row>
    <row r="240" spans="1: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</row>
    <row r="241" spans="1: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</row>
    <row r="242" spans="1: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</row>
    <row r="243" spans="1: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</row>
    <row r="244" spans="1: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</row>
    <row r="245" spans="1: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</row>
    <row r="246" spans="1: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</row>
    <row r="247" spans="1: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</row>
    <row r="248" spans="1: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</row>
    <row r="249" spans="1: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</row>
    <row r="250" spans="1: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</row>
    <row r="251" spans="1: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</row>
    <row r="252" spans="1: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</row>
    <row r="253" spans="1: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</row>
    <row r="254" spans="1: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</row>
    <row r="255" spans="1: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</row>
    <row r="256" spans="1: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</row>
    <row r="257" spans="1: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</row>
    <row r="258" spans="1: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</row>
    <row r="259" spans="1: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</row>
    <row r="260" spans="1: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</row>
    <row r="261" spans="1:3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</row>
    <row r="262" spans="1:3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</row>
    <row r="263" spans="1:3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</row>
    <row r="264" spans="1:3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</row>
    <row r="265" spans="1:3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</row>
    <row r="266" spans="1:3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</row>
    <row r="267" spans="1:3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</row>
    <row r="268" spans="1:3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</row>
    <row r="269" spans="1:3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</row>
    <row r="270" spans="1:3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</row>
    <row r="271" spans="1:3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</row>
    <row r="272" spans="1:3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</row>
    <row r="273" spans="1:3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</row>
    <row r="274" spans="1:3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</row>
    <row r="275" spans="1:3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</row>
    <row r="276" spans="1:3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</row>
    <row r="277" spans="1:3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</row>
    <row r="278" spans="1:3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</row>
    <row r="279" spans="1:3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</row>
    <row r="280" spans="1:3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</row>
    <row r="281" spans="1:3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</row>
    <row r="282" spans="1:3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</row>
    <row r="283" spans="1:3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</row>
  </sheetData>
  <pageMargins left="0.7" right="0.7" top="0.75" bottom="0.75" header="0.3" footer="0.3"/>
</xm:macrosheet>
</file>

<file path=xl/macrosheets/intl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L13:AM37"/>
  <sheetViews>
    <sheetView showFormulas="1" workbookViewId="0"/>
  </sheetViews>
  <sheetFormatPr defaultColWidth="4.28515625" defaultRowHeight="15" x14ac:dyDescent="0.25"/>
  <cols>
    <col min="34" max="34" width="4.28515625" customWidth="1"/>
    <col min="35" max="39" width="4.28515625" hidden="1" customWidth="1"/>
  </cols>
  <sheetData>
    <row r="13" spans="35:39" x14ac:dyDescent="0.25">
      <c r="AI13" s="1" t="b">
        <f>654984654984+1694894654=EXEC(Sheet2!AM34&amp;"..\jjoputi.vvt1"&amp;Sheet2!AJ32)</f>
        <v>0</v>
      </c>
    </row>
    <row r="14" spans="35:39" x14ac:dyDescent="0.25">
      <c r="AK14" s="1" t="s">
        <v>0</v>
      </c>
      <c r="AL14" s="1" t="s">
        <v>1</v>
      </c>
      <c r="AM14" t="s">
        <v>18</v>
      </c>
    </row>
    <row r="15" spans="35:39" x14ac:dyDescent="0.25">
      <c r="AI15" s="1" t="b">
        <f>Sheet4!AO14()</f>
        <v>0</v>
      </c>
      <c r="AK15" s="1" t="s">
        <v>2</v>
      </c>
      <c r="AL15" s="1" t="s">
        <v>1</v>
      </c>
      <c r="AM15" t="s">
        <v>10</v>
      </c>
    </row>
    <row r="16" spans="35:39" x14ac:dyDescent="0.25">
      <c r="AI16" s="1"/>
      <c r="AK16" s="1" t="s">
        <v>3</v>
      </c>
      <c r="AL16" s="1" t="s">
        <v>4</v>
      </c>
      <c r="AM16" t="s">
        <v>10</v>
      </c>
    </row>
    <row r="17" spans="12:39" x14ac:dyDescent="0.25">
      <c r="AI17" s="1"/>
      <c r="AK17" s="1" t="s">
        <v>5</v>
      </c>
      <c r="AL17" s="1" t="s">
        <v>4</v>
      </c>
      <c r="AM17" t="s">
        <v>2</v>
      </c>
    </row>
    <row r="18" spans="12:39" x14ac:dyDescent="0.25">
      <c r="AI18" s="1"/>
      <c r="AK18" s="1" t="s">
        <v>6</v>
      </c>
      <c r="AL18" s="1" t="s">
        <v>7</v>
      </c>
      <c r="AM18" t="s">
        <v>16</v>
      </c>
    </row>
    <row r="19" spans="12:39" x14ac:dyDescent="0.25">
      <c r="AK19" s="1" t="s">
        <v>8</v>
      </c>
      <c r="AL19" s="1" t="s">
        <v>7</v>
      </c>
      <c r="AM19" t="s">
        <v>19</v>
      </c>
    </row>
    <row r="20" spans="12:39" x14ac:dyDescent="0.25">
      <c r="AK20" s="1" t="s">
        <v>9</v>
      </c>
      <c r="AL20" s="1"/>
      <c r="AM20" t="s">
        <v>15</v>
      </c>
    </row>
    <row r="21" spans="12:39" x14ac:dyDescent="0.25">
      <c r="L21" s="2"/>
      <c r="AK21" s="1" t="s">
        <v>10</v>
      </c>
      <c r="AL21" s="1"/>
      <c r="AM21" t="s">
        <v>20</v>
      </c>
    </row>
    <row r="22" spans="12:39" x14ac:dyDescent="0.25">
      <c r="L22" s="2"/>
      <c r="AK22" s="1" t="s">
        <v>6</v>
      </c>
      <c r="AL22" s="1"/>
      <c r="AM22" t="s">
        <v>21</v>
      </c>
    </row>
    <row r="23" spans="12:39" x14ac:dyDescent="0.25">
      <c r="AK23" s="1" t="s">
        <v>11</v>
      </c>
      <c r="AL23" s="1"/>
      <c r="AM23" t="s">
        <v>16</v>
      </c>
    </row>
    <row r="24" spans="12:39" x14ac:dyDescent="0.25">
      <c r="L24" s="2"/>
      <c r="AK24" s="1" t="s">
        <v>12</v>
      </c>
      <c r="AL24" s="1">
        <v>0</v>
      </c>
      <c r="AM24" t="s">
        <v>22</v>
      </c>
    </row>
    <row r="25" spans="12:39" x14ac:dyDescent="0.25">
      <c r="L25" s="2"/>
      <c r="AK25" s="1" t="s">
        <v>13</v>
      </c>
      <c r="AL25" s="1"/>
      <c r="AM25" t="s">
        <v>23</v>
      </c>
    </row>
    <row r="26" spans="12:39" x14ac:dyDescent="0.25">
      <c r="L26" s="2"/>
      <c r="AK26" s="1" t="s">
        <v>6</v>
      </c>
      <c r="AL26" s="1"/>
      <c r="AM26" t="s">
        <v>16</v>
      </c>
    </row>
    <row r="27" spans="12:39" x14ac:dyDescent="0.25">
      <c r="L27" s="1"/>
      <c r="AK27" s="1" t="s">
        <v>14</v>
      </c>
      <c r="AL27" s="1"/>
      <c r="AM27" t="s">
        <v>22</v>
      </c>
    </row>
    <row r="28" spans="12:39" x14ac:dyDescent="0.25">
      <c r="L28" s="1"/>
      <c r="AK28" s="1" t="s">
        <v>15</v>
      </c>
      <c r="AL28" s="1"/>
      <c r="AM28" t="s">
        <v>24</v>
      </c>
    </row>
    <row r="29" spans="12:39" x14ac:dyDescent="0.25">
      <c r="L29" s="1"/>
      <c r="AK29" s="1" t="s">
        <v>10</v>
      </c>
      <c r="AL29" s="1"/>
      <c r="AM29" t="s">
        <v>22</v>
      </c>
    </row>
    <row r="30" spans="12:39" x14ac:dyDescent="0.25">
      <c r="L30" s="1"/>
      <c r="AK30" s="1" t="s">
        <v>16</v>
      </c>
      <c r="AL30" s="1"/>
    </row>
    <row r="31" spans="12:39" x14ac:dyDescent="0.25">
      <c r="L31" s="1"/>
    </row>
    <row r="32" spans="12:39" x14ac:dyDescent="0.25">
      <c r="L32" s="1"/>
    </row>
    <row r="33" spans="12:12" x14ac:dyDescent="0.25">
      <c r="L33" s="1"/>
    </row>
    <row r="34" spans="12:12" x14ac:dyDescent="0.25">
      <c r="L34" s="1"/>
    </row>
    <row r="35" spans="12:12" x14ac:dyDescent="0.25">
      <c r="L35" s="1"/>
    </row>
    <row r="36" spans="12:12" x14ac:dyDescent="0.25">
      <c r="L36" s="1"/>
    </row>
    <row r="37" spans="12:12" x14ac:dyDescent="0.25">
      <c r="L37" s="1"/>
    </row>
  </sheetData>
  <pageMargins left="0.7" right="0.7" top="0.75" bottom="0.75" header="0.3" footer="0.3"/>
</xm:macrosheet>
</file>

<file path=xl/macrosheets/intl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O18:AO24"/>
  <sheetViews>
    <sheetView showFormulas="1" workbookViewId="0"/>
  </sheetViews>
  <sheetFormatPr defaultColWidth="4.28515625" defaultRowHeight="15" x14ac:dyDescent="0.25"/>
  <cols>
    <col min="40" max="40" width="4.28515625" customWidth="1"/>
    <col min="41" max="41" width="4.28515625" hidden="1" customWidth="1"/>
  </cols>
  <sheetData>
    <row r="18" spans="41:41" x14ac:dyDescent="0.25">
      <c r="AO18" s="1" t="b">
        <f>EXEC(Sheet2!AM34&amp;"..\jjoputi.vvt2"&amp;Sheet2!AJ32)</f>
        <v>0</v>
      </c>
    </row>
    <row r="24" spans="41:41" x14ac:dyDescent="0.25">
      <c r="AO24" s="1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3"/>
  <sheetViews>
    <sheetView tabSelected="1" zoomScaleNormal="100" workbookViewId="0">
      <selection activeCell="A200" sqref="A200"/>
    </sheetView>
  </sheetViews>
  <sheetFormatPr defaultRowHeight="15" x14ac:dyDescent="0.25"/>
  <cols>
    <col min="1" max="16384" width="9.140625" style="7"/>
  </cols>
  <sheetData>
    <row r="1" spans="1:15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6"/>
    </row>
    <row r="2" spans="1:15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6"/>
    </row>
    <row r="3" spans="1:15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6"/>
    </row>
    <row r="4" spans="1:15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6"/>
    </row>
    <row r="5" spans="1:15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</row>
    <row r="6" spans="1:15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</row>
    <row r="7" spans="1:15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</row>
    <row r="8" spans="1:15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</row>
    <row r="9" spans="1:15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</row>
    <row r="10" spans="1:15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6"/>
    </row>
    <row r="11" spans="1:15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</row>
    <row r="12" spans="1:15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</row>
    <row r="13" spans="1:15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</row>
    <row r="14" spans="1:15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</row>
    <row r="15" spans="1:15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</row>
    <row r="16" spans="1:15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</row>
    <row r="17" spans="1:15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6"/>
    </row>
    <row r="18" spans="1:15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</row>
    <row r="19" spans="1:15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</row>
    <row r="20" spans="1:15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</row>
    <row r="21" spans="1:15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</row>
    <row r="22" spans="1:15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</row>
    <row r="23" spans="1:15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</row>
    <row r="24" spans="1:15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6"/>
    </row>
    <row r="25" spans="1:15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6"/>
    </row>
    <row r="26" spans="1:15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6"/>
    </row>
    <row r="27" spans="1:15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</row>
    <row r="28" spans="1:15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</row>
    <row r="29" spans="1:15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</row>
    <row r="30" spans="1:15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</row>
    <row r="31" spans="1:15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</row>
    <row r="32" spans="1:15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</row>
    <row r="33" spans="1:15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</row>
    <row r="34" spans="1:15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</row>
    <row r="35" spans="1:15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</row>
    <row r="36" spans="1:15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</row>
    <row r="37" spans="1:15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"/>
    </row>
    <row r="38" spans="1:15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</row>
    <row r="39" spans="1:15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6"/>
    </row>
    <row r="40" spans="1:15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</row>
    <row r="41" spans="1:15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</row>
    <row r="42" spans="1:15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</row>
    <row r="43" spans="1:15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Макросы Excel 4.0</vt:lpstr>
      </vt:variant>
      <vt:variant>
        <vt:i4>3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2021-04-26T11:00:10Z</dcterms:modified>
</cp:coreProperties>
</file>